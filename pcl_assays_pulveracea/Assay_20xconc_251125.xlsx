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Sc\Microbiology\pcl_assays_pulveracea\"/>
    </mc:Choice>
  </mc:AlternateContent>
  <xr:revisionPtr revIDLastSave="0" documentId="8_{92075A8C-F164-44B7-BB7A-3621DB508028}" xr6:coauthVersionLast="47" xr6:coauthVersionMax="47" xr10:uidLastSave="{00000000-0000-0000-0000-000000000000}"/>
  <bookViews>
    <workbookView xWindow="-28920" yWindow="15990" windowWidth="29040" windowHeight="15720" firstSheet="1" activeTab="5" xr2:uid="{00000000-000D-0000-FFFF-FFFF00000000}"/>
  </bookViews>
  <sheets>
    <sheet name="Sample ID" sheetId="14" r:id="rId1"/>
    <sheet name="Data" sheetId="2" r:id="rId2"/>
    <sheet name="Results" sheetId="18" r:id="rId3"/>
    <sheet name="Std Curve" sheetId="1" r:id="rId4"/>
    <sheet name="Substrate Degradation (mg ml)" sheetId="13" r:id="rId5"/>
    <sheet name="Activity (mg ml min)" sheetId="11" r:id="rId6"/>
    <sheet name="Activity Summary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9" l="1"/>
  <c r="F28" i="11"/>
  <c r="F29" i="11"/>
  <c r="F30" i="11"/>
  <c r="F31" i="11"/>
  <c r="F7" i="1" l="1"/>
  <c r="G7" i="1"/>
  <c r="F8" i="1"/>
  <c r="G8" i="1"/>
  <c r="F9" i="1"/>
  <c r="G9" i="1"/>
  <c r="F10" i="1"/>
  <c r="G10" i="1"/>
  <c r="F11" i="1"/>
  <c r="G11" i="1"/>
  <c r="F12" i="1"/>
  <c r="G12" i="1"/>
  <c r="B9" i="19"/>
  <c r="C9" i="19"/>
  <c r="D9" i="19"/>
  <c r="B10" i="19"/>
  <c r="C10" i="19"/>
  <c r="D10" i="19"/>
  <c r="B11" i="19"/>
  <c r="C11" i="19"/>
  <c r="D11" i="19"/>
  <c r="B12" i="19"/>
  <c r="C12" i="19"/>
  <c r="D12" i="19"/>
  <c r="B13" i="19"/>
  <c r="C13" i="19"/>
  <c r="D13" i="19"/>
  <c r="B14" i="19"/>
  <c r="C14" i="19"/>
  <c r="D14" i="19"/>
  <c r="B15" i="19"/>
  <c r="C15" i="19"/>
  <c r="D15" i="19"/>
  <c r="B16" i="19"/>
  <c r="C16" i="19"/>
  <c r="D16" i="19"/>
  <c r="B17" i="19"/>
  <c r="C17" i="19"/>
  <c r="D17" i="19"/>
  <c r="B18" i="19"/>
  <c r="C18" i="19"/>
  <c r="D18" i="19"/>
  <c r="B19" i="19"/>
  <c r="C19" i="19"/>
  <c r="D19" i="19"/>
  <c r="B20" i="19"/>
  <c r="C20" i="19"/>
  <c r="D20" i="19"/>
  <c r="B21" i="19"/>
  <c r="C21" i="19"/>
  <c r="D21" i="19"/>
  <c r="F34" i="11"/>
  <c r="F35" i="11"/>
  <c r="F36" i="11"/>
  <c r="F37" i="11"/>
  <c r="F38" i="11"/>
  <c r="F39" i="11"/>
  <c r="F32" i="11"/>
  <c r="F33" i="11"/>
  <c r="F26" i="11"/>
  <c r="F27" i="11"/>
  <c r="F24" i="11"/>
  <c r="F25" i="11"/>
  <c r="B39" i="11"/>
  <c r="D21" i="11"/>
  <c r="D39" i="11" s="1"/>
  <c r="C21" i="11"/>
  <c r="B21" i="11"/>
  <c r="D20" i="11"/>
  <c r="D38" i="11" s="1"/>
  <c r="C20" i="11"/>
  <c r="C38" i="11" s="1"/>
  <c r="B20" i="11"/>
  <c r="B38" i="11" s="1"/>
  <c r="D19" i="11"/>
  <c r="D37" i="11" s="1"/>
  <c r="C19" i="11"/>
  <c r="C37" i="11" s="1"/>
  <c r="B19" i="11"/>
  <c r="B37" i="11" s="1"/>
  <c r="D18" i="11"/>
  <c r="D36" i="11" s="1"/>
  <c r="C18" i="11"/>
  <c r="C36" i="11" s="1"/>
  <c r="B18" i="11"/>
  <c r="B36" i="11" s="1"/>
  <c r="D17" i="11"/>
  <c r="D35" i="11" s="1"/>
  <c r="C17" i="11"/>
  <c r="E17" i="11" s="1"/>
  <c r="E35" i="11" s="1"/>
  <c r="B17" i="11"/>
  <c r="B35" i="11" s="1"/>
  <c r="D16" i="11"/>
  <c r="C16" i="11"/>
  <c r="C34" i="11" s="1"/>
  <c r="B16" i="11"/>
  <c r="B34" i="11" s="1"/>
  <c r="D15" i="11"/>
  <c r="D33" i="11" s="1"/>
  <c r="C15" i="11"/>
  <c r="C33" i="11" s="1"/>
  <c r="B15" i="11"/>
  <c r="B33" i="11" s="1"/>
  <c r="D14" i="11"/>
  <c r="D32" i="11" s="1"/>
  <c r="C14" i="11"/>
  <c r="C32" i="11" s="1"/>
  <c r="B14" i="11"/>
  <c r="B32" i="11" s="1"/>
  <c r="D13" i="11"/>
  <c r="D31" i="11" s="1"/>
  <c r="C13" i="11"/>
  <c r="C31" i="11" s="1"/>
  <c r="B13" i="11"/>
  <c r="B31" i="11" s="1"/>
  <c r="D12" i="11"/>
  <c r="C12" i="11"/>
  <c r="C30" i="11" s="1"/>
  <c r="B12" i="11"/>
  <c r="B30" i="11" s="1"/>
  <c r="D11" i="11"/>
  <c r="D29" i="11" s="1"/>
  <c r="C11" i="11"/>
  <c r="C29" i="11" s="1"/>
  <c r="B11" i="11"/>
  <c r="B29" i="11" s="1"/>
  <c r="D10" i="11"/>
  <c r="D28" i="11" s="1"/>
  <c r="C10" i="11"/>
  <c r="B10" i="11"/>
  <c r="B28" i="11" s="1"/>
  <c r="D9" i="11"/>
  <c r="D27" i="11" s="1"/>
  <c r="C9" i="11"/>
  <c r="B9" i="11"/>
  <c r="B27" i="11" s="1"/>
  <c r="D8" i="11"/>
  <c r="D26" i="11" s="1"/>
  <c r="C8" i="11"/>
  <c r="C26" i="11" s="1"/>
  <c r="B8" i="11"/>
  <c r="B26" i="11" s="1"/>
  <c r="D7" i="11"/>
  <c r="D25" i="11" s="1"/>
  <c r="C7" i="11"/>
  <c r="C25" i="11" s="1"/>
  <c r="B7" i="11"/>
  <c r="B25" i="11" s="1"/>
  <c r="D6" i="11"/>
  <c r="D24" i="11" s="1"/>
  <c r="C6" i="11"/>
  <c r="C24" i="11" s="1"/>
  <c r="B6" i="11"/>
  <c r="B24" i="11" s="1"/>
  <c r="C7" i="19"/>
  <c r="D7" i="19"/>
  <c r="C8" i="19"/>
  <c r="D8" i="19"/>
  <c r="D6" i="19"/>
  <c r="C6" i="19"/>
  <c r="B7" i="19"/>
  <c r="B8" i="19"/>
  <c r="B6" i="19"/>
  <c r="E18" i="11" l="1"/>
  <c r="D21" i="1"/>
  <c r="D20" i="1"/>
  <c r="D19" i="1"/>
  <c r="P10" i="18" s="1"/>
  <c r="E10" i="11"/>
  <c r="E10" i="19" s="1"/>
  <c r="E16" i="11"/>
  <c r="E34" i="11" s="1"/>
  <c r="C28" i="11"/>
  <c r="E21" i="11"/>
  <c r="E21" i="19" s="1"/>
  <c r="E11" i="11"/>
  <c r="E11" i="19" s="1"/>
  <c r="E19" i="11"/>
  <c r="E37" i="11" s="1"/>
  <c r="C35" i="11"/>
  <c r="E12" i="11"/>
  <c r="E12" i="19" s="1"/>
  <c r="E20" i="11"/>
  <c r="E20" i="19" s="1"/>
  <c r="E25" i="11"/>
  <c r="E9" i="19"/>
  <c r="D30" i="11"/>
  <c r="E26" i="11"/>
  <c r="E6" i="19"/>
  <c r="E36" i="11"/>
  <c r="E18" i="19"/>
  <c r="E17" i="19"/>
  <c r="E15" i="11"/>
  <c r="C39" i="11"/>
  <c r="E14" i="11"/>
  <c r="C27" i="11"/>
  <c r="E13" i="11"/>
  <c r="D34" i="11"/>
  <c r="E19" i="19" l="1"/>
  <c r="E39" i="11"/>
  <c r="E28" i="11"/>
  <c r="E27" i="11"/>
  <c r="E16" i="19"/>
  <c r="E38" i="11"/>
  <c r="E7" i="19"/>
  <c r="E29" i="11"/>
  <c r="E30" i="11"/>
  <c r="E8" i="19"/>
  <c r="E24" i="11"/>
  <c r="E33" i="11"/>
  <c r="E15" i="19"/>
  <c r="E31" i="11"/>
  <c r="E13" i="19"/>
  <c r="E32" i="11"/>
  <c r="E14" i="19"/>
  <c r="E348" i="18" l="1"/>
  <c r="F348" i="18"/>
  <c r="G348" i="18"/>
  <c r="H348" i="18"/>
  <c r="I348" i="18"/>
  <c r="J348" i="18"/>
  <c r="E349" i="18"/>
  <c r="F349" i="18"/>
  <c r="G349" i="18"/>
  <c r="H349" i="18"/>
  <c r="I349" i="18"/>
  <c r="J349" i="18"/>
  <c r="E350" i="18"/>
  <c r="F350" i="18"/>
  <c r="G350" i="18"/>
  <c r="H350" i="18"/>
  <c r="I350" i="18"/>
  <c r="J350" i="18"/>
  <c r="E351" i="18"/>
  <c r="F351" i="18"/>
  <c r="G351" i="18"/>
  <c r="H351" i="18"/>
  <c r="I351" i="18"/>
  <c r="J351" i="18"/>
  <c r="E352" i="18"/>
  <c r="F352" i="18"/>
  <c r="G352" i="18"/>
  <c r="H352" i="18"/>
  <c r="I352" i="18"/>
  <c r="J352" i="18"/>
  <c r="E353" i="18"/>
  <c r="F353" i="18"/>
  <c r="G353" i="18"/>
  <c r="H353" i="18"/>
  <c r="I353" i="18"/>
  <c r="J353" i="18"/>
  <c r="E354" i="18"/>
  <c r="F354" i="18"/>
  <c r="G354" i="18"/>
  <c r="H354" i="18"/>
  <c r="I354" i="18"/>
  <c r="J354" i="18"/>
  <c r="F347" i="18"/>
  <c r="G347" i="18"/>
  <c r="H347" i="18"/>
  <c r="I347" i="18"/>
  <c r="J347" i="18"/>
  <c r="E347" i="18"/>
  <c r="E339" i="18"/>
  <c r="F339" i="18"/>
  <c r="G339" i="18"/>
  <c r="H339" i="18"/>
  <c r="I339" i="18"/>
  <c r="J339" i="18"/>
  <c r="E340" i="18"/>
  <c r="F340" i="18"/>
  <c r="G340" i="18"/>
  <c r="H340" i="18"/>
  <c r="I340" i="18"/>
  <c r="J340" i="18"/>
  <c r="E341" i="18"/>
  <c r="F341" i="18"/>
  <c r="G341" i="18"/>
  <c r="H341" i="18"/>
  <c r="I341" i="18"/>
  <c r="J341" i="18"/>
  <c r="E342" i="18"/>
  <c r="F342" i="18"/>
  <c r="G342" i="18"/>
  <c r="H342" i="18"/>
  <c r="I342" i="18"/>
  <c r="J342" i="18"/>
  <c r="E343" i="18"/>
  <c r="F343" i="18"/>
  <c r="G343" i="18"/>
  <c r="H343" i="18"/>
  <c r="I343" i="18"/>
  <c r="J343" i="18"/>
  <c r="E344" i="18"/>
  <c r="F344" i="18"/>
  <c r="G344" i="18"/>
  <c r="H344" i="18"/>
  <c r="I344" i="18"/>
  <c r="J344" i="18"/>
  <c r="E345" i="18"/>
  <c r="F345" i="18"/>
  <c r="G345" i="18"/>
  <c r="H345" i="18"/>
  <c r="I345" i="18"/>
  <c r="J345" i="18"/>
  <c r="F338" i="18"/>
  <c r="G338" i="18"/>
  <c r="H338" i="18"/>
  <c r="I338" i="18"/>
  <c r="J338" i="18"/>
  <c r="E338" i="18"/>
  <c r="E330" i="18"/>
  <c r="F330" i="18"/>
  <c r="G330" i="18"/>
  <c r="H330" i="18"/>
  <c r="I330" i="18"/>
  <c r="J330" i="18"/>
  <c r="E331" i="18"/>
  <c r="F331" i="18"/>
  <c r="G331" i="18"/>
  <c r="H331" i="18"/>
  <c r="I331" i="18"/>
  <c r="J331" i="18"/>
  <c r="E332" i="18"/>
  <c r="F332" i="18"/>
  <c r="G332" i="18"/>
  <c r="H332" i="18"/>
  <c r="I332" i="18"/>
  <c r="J332" i="18"/>
  <c r="E333" i="18"/>
  <c r="F333" i="18"/>
  <c r="G333" i="18"/>
  <c r="H333" i="18"/>
  <c r="I333" i="18"/>
  <c r="J333" i="18"/>
  <c r="E334" i="18"/>
  <c r="F334" i="18"/>
  <c r="G334" i="18"/>
  <c r="H334" i="18"/>
  <c r="I334" i="18"/>
  <c r="J334" i="18"/>
  <c r="E335" i="18"/>
  <c r="F335" i="18"/>
  <c r="G335" i="18"/>
  <c r="H335" i="18"/>
  <c r="I335" i="18"/>
  <c r="J335" i="18"/>
  <c r="E336" i="18"/>
  <c r="F336" i="18"/>
  <c r="G336" i="18"/>
  <c r="H336" i="18"/>
  <c r="I336" i="18"/>
  <c r="J336" i="18"/>
  <c r="F329" i="18"/>
  <c r="G329" i="18"/>
  <c r="H329" i="18"/>
  <c r="I329" i="18"/>
  <c r="J329" i="18"/>
  <c r="E329" i="18"/>
  <c r="E321" i="18"/>
  <c r="F321" i="18"/>
  <c r="G321" i="18"/>
  <c r="H321" i="18"/>
  <c r="I321" i="18"/>
  <c r="J321" i="18"/>
  <c r="E322" i="18"/>
  <c r="F322" i="18"/>
  <c r="G322" i="18"/>
  <c r="H322" i="18"/>
  <c r="I322" i="18"/>
  <c r="J322" i="18"/>
  <c r="E323" i="18"/>
  <c r="F323" i="18"/>
  <c r="G323" i="18"/>
  <c r="H323" i="18"/>
  <c r="I323" i="18"/>
  <c r="J323" i="18"/>
  <c r="E324" i="18"/>
  <c r="F324" i="18"/>
  <c r="G324" i="18"/>
  <c r="H324" i="18"/>
  <c r="I324" i="18"/>
  <c r="J324" i="18"/>
  <c r="E325" i="18"/>
  <c r="F325" i="18"/>
  <c r="G325" i="18"/>
  <c r="H325" i="18"/>
  <c r="I325" i="18"/>
  <c r="J325" i="18"/>
  <c r="E326" i="18"/>
  <c r="F326" i="18"/>
  <c r="G326" i="18"/>
  <c r="H326" i="18"/>
  <c r="I326" i="18"/>
  <c r="J326" i="18"/>
  <c r="E327" i="18"/>
  <c r="F327" i="18"/>
  <c r="G327" i="18"/>
  <c r="H327" i="18"/>
  <c r="I327" i="18"/>
  <c r="J327" i="18"/>
  <c r="F320" i="18"/>
  <c r="G320" i="18"/>
  <c r="H320" i="18"/>
  <c r="I320" i="18"/>
  <c r="J320" i="18"/>
  <c r="E320" i="18"/>
  <c r="E312" i="18"/>
  <c r="F312" i="18"/>
  <c r="G312" i="18"/>
  <c r="H312" i="18"/>
  <c r="I312" i="18"/>
  <c r="J312" i="18"/>
  <c r="E313" i="18"/>
  <c r="F313" i="18"/>
  <c r="G313" i="18"/>
  <c r="H313" i="18"/>
  <c r="I313" i="18"/>
  <c r="J313" i="18"/>
  <c r="E314" i="18"/>
  <c r="F314" i="18"/>
  <c r="G314" i="18"/>
  <c r="H314" i="18"/>
  <c r="I314" i="18"/>
  <c r="J314" i="18"/>
  <c r="E315" i="18"/>
  <c r="F315" i="18"/>
  <c r="G315" i="18"/>
  <c r="H315" i="18"/>
  <c r="I315" i="18"/>
  <c r="J315" i="18"/>
  <c r="E316" i="18"/>
  <c r="F316" i="18"/>
  <c r="G316" i="18"/>
  <c r="H316" i="18"/>
  <c r="I316" i="18"/>
  <c r="J316" i="18"/>
  <c r="E317" i="18"/>
  <c r="F317" i="18"/>
  <c r="G317" i="18"/>
  <c r="H317" i="18"/>
  <c r="I317" i="18"/>
  <c r="J317" i="18"/>
  <c r="E318" i="18"/>
  <c r="F318" i="18"/>
  <c r="G318" i="18"/>
  <c r="H318" i="18"/>
  <c r="I318" i="18"/>
  <c r="J318" i="18"/>
  <c r="F311" i="18"/>
  <c r="G311" i="18"/>
  <c r="H311" i="18"/>
  <c r="I311" i="18"/>
  <c r="J311" i="18"/>
  <c r="E311" i="18"/>
  <c r="E303" i="18"/>
  <c r="F303" i="18"/>
  <c r="G303" i="18"/>
  <c r="H303" i="18"/>
  <c r="I303" i="18"/>
  <c r="J303" i="18"/>
  <c r="E304" i="18"/>
  <c r="F304" i="18"/>
  <c r="G304" i="18"/>
  <c r="H304" i="18"/>
  <c r="I304" i="18"/>
  <c r="J304" i="18"/>
  <c r="E305" i="18"/>
  <c r="F305" i="18"/>
  <c r="G305" i="18"/>
  <c r="H305" i="18"/>
  <c r="I305" i="18"/>
  <c r="J305" i="18"/>
  <c r="E306" i="18"/>
  <c r="F306" i="18"/>
  <c r="G306" i="18"/>
  <c r="H306" i="18"/>
  <c r="I306" i="18"/>
  <c r="J306" i="18"/>
  <c r="E307" i="18"/>
  <c r="F307" i="18"/>
  <c r="G307" i="18"/>
  <c r="H307" i="18"/>
  <c r="I307" i="18"/>
  <c r="J307" i="18"/>
  <c r="E308" i="18"/>
  <c r="F308" i="18"/>
  <c r="G308" i="18"/>
  <c r="H308" i="18"/>
  <c r="I308" i="18"/>
  <c r="J308" i="18"/>
  <c r="E309" i="18"/>
  <c r="F309" i="18"/>
  <c r="G309" i="18"/>
  <c r="H309" i="18"/>
  <c r="I309" i="18"/>
  <c r="J309" i="18"/>
  <c r="F302" i="18"/>
  <c r="G302" i="18"/>
  <c r="H302" i="18"/>
  <c r="I302" i="18"/>
  <c r="J302" i="18"/>
  <c r="E302" i="18"/>
  <c r="E294" i="18"/>
  <c r="F294" i="18"/>
  <c r="G294" i="18"/>
  <c r="H294" i="18"/>
  <c r="I294" i="18"/>
  <c r="J294" i="18"/>
  <c r="E295" i="18"/>
  <c r="F295" i="18"/>
  <c r="G295" i="18"/>
  <c r="H295" i="18"/>
  <c r="I295" i="18"/>
  <c r="J295" i="18"/>
  <c r="E296" i="18"/>
  <c r="F296" i="18"/>
  <c r="G296" i="18"/>
  <c r="H296" i="18"/>
  <c r="I296" i="18"/>
  <c r="J296" i="18"/>
  <c r="E297" i="18"/>
  <c r="F297" i="18"/>
  <c r="G297" i="18"/>
  <c r="H297" i="18"/>
  <c r="I297" i="18"/>
  <c r="J297" i="18"/>
  <c r="E298" i="18"/>
  <c r="F298" i="18"/>
  <c r="G298" i="18"/>
  <c r="H298" i="18"/>
  <c r="I298" i="18"/>
  <c r="J298" i="18"/>
  <c r="E299" i="18"/>
  <c r="F299" i="18"/>
  <c r="G299" i="18"/>
  <c r="H299" i="18"/>
  <c r="I299" i="18"/>
  <c r="J299" i="18"/>
  <c r="E300" i="18"/>
  <c r="F300" i="18"/>
  <c r="G300" i="18"/>
  <c r="H300" i="18"/>
  <c r="I300" i="18"/>
  <c r="J300" i="18"/>
  <c r="F293" i="18"/>
  <c r="G293" i="18"/>
  <c r="H293" i="18"/>
  <c r="I293" i="18"/>
  <c r="J293" i="18"/>
  <c r="E293" i="18"/>
  <c r="E285" i="18"/>
  <c r="F285" i="18"/>
  <c r="G285" i="18"/>
  <c r="H285" i="18"/>
  <c r="I285" i="18"/>
  <c r="J285" i="18"/>
  <c r="E286" i="18"/>
  <c r="F286" i="18"/>
  <c r="G286" i="18"/>
  <c r="H286" i="18"/>
  <c r="I286" i="18"/>
  <c r="J286" i="18"/>
  <c r="E287" i="18"/>
  <c r="F287" i="18"/>
  <c r="G287" i="18"/>
  <c r="H287" i="18"/>
  <c r="I287" i="18"/>
  <c r="J287" i="18"/>
  <c r="E288" i="18"/>
  <c r="F288" i="18"/>
  <c r="G288" i="18"/>
  <c r="H288" i="18"/>
  <c r="I288" i="18"/>
  <c r="J288" i="18"/>
  <c r="E289" i="18"/>
  <c r="F289" i="18"/>
  <c r="G289" i="18"/>
  <c r="H289" i="18"/>
  <c r="I289" i="18"/>
  <c r="J289" i="18"/>
  <c r="E290" i="18"/>
  <c r="F290" i="18"/>
  <c r="G290" i="18"/>
  <c r="H290" i="18"/>
  <c r="I290" i="18"/>
  <c r="J290" i="18"/>
  <c r="E291" i="18"/>
  <c r="F291" i="18"/>
  <c r="G291" i="18"/>
  <c r="H291" i="18"/>
  <c r="I291" i="18"/>
  <c r="J291" i="18"/>
  <c r="F284" i="18"/>
  <c r="G284" i="18"/>
  <c r="H284" i="18"/>
  <c r="I284" i="18"/>
  <c r="J284" i="18"/>
  <c r="E284" i="18"/>
  <c r="E276" i="18"/>
  <c r="F276" i="18"/>
  <c r="G276" i="18"/>
  <c r="H276" i="18"/>
  <c r="I276" i="18"/>
  <c r="J276" i="18"/>
  <c r="E277" i="18"/>
  <c r="F277" i="18"/>
  <c r="G277" i="18"/>
  <c r="H277" i="18"/>
  <c r="I277" i="18"/>
  <c r="J277" i="18"/>
  <c r="E278" i="18"/>
  <c r="F278" i="18"/>
  <c r="G278" i="18"/>
  <c r="H278" i="18"/>
  <c r="I278" i="18"/>
  <c r="J278" i="18"/>
  <c r="E279" i="18"/>
  <c r="F279" i="18"/>
  <c r="G279" i="18"/>
  <c r="H279" i="18"/>
  <c r="I279" i="18"/>
  <c r="J279" i="18"/>
  <c r="E280" i="18"/>
  <c r="F280" i="18"/>
  <c r="G280" i="18"/>
  <c r="H280" i="18"/>
  <c r="I280" i="18"/>
  <c r="J280" i="18"/>
  <c r="E281" i="18"/>
  <c r="F281" i="18"/>
  <c r="G281" i="18"/>
  <c r="H281" i="18"/>
  <c r="I281" i="18"/>
  <c r="J281" i="18"/>
  <c r="E282" i="18"/>
  <c r="F282" i="18"/>
  <c r="G282" i="18"/>
  <c r="H282" i="18"/>
  <c r="I282" i="18"/>
  <c r="J282" i="18"/>
  <c r="F275" i="18"/>
  <c r="G275" i="18"/>
  <c r="H275" i="18"/>
  <c r="I275" i="18"/>
  <c r="J275" i="18"/>
  <c r="E275" i="18"/>
  <c r="E267" i="18"/>
  <c r="F267" i="18"/>
  <c r="G267" i="18"/>
  <c r="H267" i="18"/>
  <c r="I267" i="18"/>
  <c r="J267" i="18"/>
  <c r="E268" i="18"/>
  <c r="F268" i="18"/>
  <c r="G268" i="18"/>
  <c r="H268" i="18"/>
  <c r="I268" i="18"/>
  <c r="J268" i="18"/>
  <c r="E269" i="18"/>
  <c r="F269" i="18"/>
  <c r="G269" i="18"/>
  <c r="H269" i="18"/>
  <c r="I269" i="18"/>
  <c r="J269" i="18"/>
  <c r="E270" i="18"/>
  <c r="F270" i="18"/>
  <c r="G270" i="18"/>
  <c r="H270" i="18"/>
  <c r="I270" i="18"/>
  <c r="J270" i="18"/>
  <c r="E271" i="18"/>
  <c r="F271" i="18"/>
  <c r="G271" i="18"/>
  <c r="H271" i="18"/>
  <c r="I271" i="18"/>
  <c r="J271" i="18"/>
  <c r="E272" i="18"/>
  <c r="F272" i="18"/>
  <c r="G272" i="18"/>
  <c r="H272" i="18"/>
  <c r="I272" i="18"/>
  <c r="J272" i="18"/>
  <c r="E273" i="18"/>
  <c r="F273" i="18"/>
  <c r="G273" i="18"/>
  <c r="H273" i="18"/>
  <c r="I273" i="18"/>
  <c r="J273" i="18"/>
  <c r="F266" i="18"/>
  <c r="G266" i="18"/>
  <c r="H266" i="18"/>
  <c r="I266" i="18"/>
  <c r="J266" i="18"/>
  <c r="E266" i="18"/>
  <c r="E258" i="18"/>
  <c r="F258" i="18"/>
  <c r="G258" i="18"/>
  <c r="H258" i="18"/>
  <c r="I258" i="18"/>
  <c r="J258" i="18"/>
  <c r="E259" i="18"/>
  <c r="F259" i="18"/>
  <c r="G259" i="18"/>
  <c r="H259" i="18"/>
  <c r="I259" i="18"/>
  <c r="J259" i="18"/>
  <c r="E260" i="18"/>
  <c r="F260" i="18"/>
  <c r="G260" i="18"/>
  <c r="H260" i="18"/>
  <c r="I260" i="18"/>
  <c r="J260" i="18"/>
  <c r="E261" i="18"/>
  <c r="F261" i="18"/>
  <c r="G261" i="18"/>
  <c r="H261" i="18"/>
  <c r="I261" i="18"/>
  <c r="J261" i="18"/>
  <c r="E262" i="18"/>
  <c r="F262" i="18"/>
  <c r="G262" i="18"/>
  <c r="H262" i="18"/>
  <c r="I262" i="18"/>
  <c r="J262" i="18"/>
  <c r="E263" i="18"/>
  <c r="F263" i="18"/>
  <c r="G263" i="18"/>
  <c r="H263" i="18"/>
  <c r="I263" i="18"/>
  <c r="J263" i="18"/>
  <c r="E264" i="18"/>
  <c r="F264" i="18"/>
  <c r="G264" i="18"/>
  <c r="H264" i="18"/>
  <c r="I264" i="18"/>
  <c r="J264" i="18"/>
  <c r="F257" i="18"/>
  <c r="G257" i="18"/>
  <c r="H257" i="18"/>
  <c r="I257" i="18"/>
  <c r="J257" i="18"/>
  <c r="E257" i="18"/>
  <c r="E249" i="18"/>
  <c r="F249" i="18"/>
  <c r="G249" i="18"/>
  <c r="H249" i="18"/>
  <c r="I249" i="18"/>
  <c r="J249" i="18"/>
  <c r="E250" i="18"/>
  <c r="F250" i="18"/>
  <c r="G250" i="18"/>
  <c r="H250" i="18"/>
  <c r="I250" i="18"/>
  <c r="J250" i="18"/>
  <c r="E251" i="18"/>
  <c r="F251" i="18"/>
  <c r="G251" i="18"/>
  <c r="H251" i="18"/>
  <c r="I251" i="18"/>
  <c r="J251" i="18"/>
  <c r="E252" i="18"/>
  <c r="F252" i="18"/>
  <c r="G252" i="18"/>
  <c r="H252" i="18"/>
  <c r="I252" i="18"/>
  <c r="J252" i="18"/>
  <c r="E253" i="18"/>
  <c r="F253" i="18"/>
  <c r="G253" i="18"/>
  <c r="H253" i="18"/>
  <c r="I253" i="18"/>
  <c r="J253" i="18"/>
  <c r="E254" i="18"/>
  <c r="F254" i="18"/>
  <c r="G254" i="18"/>
  <c r="H254" i="18"/>
  <c r="I254" i="18"/>
  <c r="J254" i="18"/>
  <c r="E255" i="18"/>
  <c r="F255" i="18"/>
  <c r="G255" i="18"/>
  <c r="H255" i="18"/>
  <c r="I255" i="18"/>
  <c r="J255" i="18"/>
  <c r="F248" i="18"/>
  <c r="G248" i="18"/>
  <c r="H248" i="18"/>
  <c r="I248" i="18"/>
  <c r="J248" i="18"/>
  <c r="E248" i="18"/>
  <c r="E240" i="18"/>
  <c r="F240" i="18"/>
  <c r="G240" i="18"/>
  <c r="H240" i="18"/>
  <c r="I240" i="18"/>
  <c r="J240" i="18"/>
  <c r="E241" i="18"/>
  <c r="F241" i="18"/>
  <c r="G241" i="18"/>
  <c r="H241" i="18"/>
  <c r="I241" i="18"/>
  <c r="J241" i="18"/>
  <c r="E242" i="18"/>
  <c r="F242" i="18"/>
  <c r="G242" i="18"/>
  <c r="H242" i="18"/>
  <c r="I242" i="18"/>
  <c r="J242" i="18"/>
  <c r="E243" i="18"/>
  <c r="F243" i="18"/>
  <c r="G243" i="18"/>
  <c r="H243" i="18"/>
  <c r="I243" i="18"/>
  <c r="J243" i="18"/>
  <c r="E244" i="18"/>
  <c r="F244" i="18"/>
  <c r="G244" i="18"/>
  <c r="H244" i="18"/>
  <c r="I244" i="18"/>
  <c r="J244" i="18"/>
  <c r="E245" i="18"/>
  <c r="F245" i="18"/>
  <c r="G245" i="18"/>
  <c r="H245" i="18"/>
  <c r="I245" i="18"/>
  <c r="J245" i="18"/>
  <c r="E246" i="18"/>
  <c r="F246" i="18"/>
  <c r="G246" i="18"/>
  <c r="H246" i="18"/>
  <c r="I246" i="18"/>
  <c r="J246" i="18"/>
  <c r="F239" i="18"/>
  <c r="G239" i="18"/>
  <c r="H239" i="18"/>
  <c r="I239" i="18"/>
  <c r="J239" i="18"/>
  <c r="E239" i="18"/>
  <c r="E231" i="18"/>
  <c r="F231" i="18"/>
  <c r="G231" i="18"/>
  <c r="H231" i="18"/>
  <c r="I231" i="18"/>
  <c r="J231" i="18"/>
  <c r="E232" i="18"/>
  <c r="F232" i="18"/>
  <c r="G232" i="18"/>
  <c r="H232" i="18"/>
  <c r="I232" i="18"/>
  <c r="J232" i="18"/>
  <c r="E233" i="18"/>
  <c r="F233" i="18"/>
  <c r="G233" i="18"/>
  <c r="H233" i="18"/>
  <c r="I233" i="18"/>
  <c r="J233" i="18"/>
  <c r="E234" i="18"/>
  <c r="F234" i="18"/>
  <c r="G234" i="18"/>
  <c r="H234" i="18"/>
  <c r="I234" i="18"/>
  <c r="J234" i="18"/>
  <c r="E235" i="18"/>
  <c r="F235" i="18"/>
  <c r="G235" i="18"/>
  <c r="H235" i="18"/>
  <c r="I235" i="18"/>
  <c r="J235" i="18"/>
  <c r="E236" i="18"/>
  <c r="F236" i="18"/>
  <c r="G236" i="18"/>
  <c r="H236" i="18"/>
  <c r="I236" i="18"/>
  <c r="J236" i="18"/>
  <c r="E237" i="18"/>
  <c r="F237" i="18"/>
  <c r="G237" i="18"/>
  <c r="H237" i="18"/>
  <c r="I237" i="18"/>
  <c r="J237" i="18"/>
  <c r="F230" i="18"/>
  <c r="G230" i="18"/>
  <c r="H230" i="18"/>
  <c r="I230" i="18"/>
  <c r="J230" i="18"/>
  <c r="E230" i="18"/>
  <c r="E222" i="18"/>
  <c r="F222" i="18"/>
  <c r="G222" i="18"/>
  <c r="H222" i="18"/>
  <c r="I222" i="18"/>
  <c r="J222" i="18"/>
  <c r="E223" i="18"/>
  <c r="F223" i="18"/>
  <c r="G223" i="18"/>
  <c r="H223" i="18"/>
  <c r="I223" i="18"/>
  <c r="J223" i="18"/>
  <c r="E224" i="18"/>
  <c r="F224" i="18"/>
  <c r="G224" i="18"/>
  <c r="H224" i="18"/>
  <c r="I224" i="18"/>
  <c r="J224" i="18"/>
  <c r="E225" i="18"/>
  <c r="F225" i="18"/>
  <c r="G225" i="18"/>
  <c r="H225" i="18"/>
  <c r="I225" i="18"/>
  <c r="J225" i="18"/>
  <c r="E226" i="18"/>
  <c r="F226" i="18"/>
  <c r="G226" i="18"/>
  <c r="H226" i="18"/>
  <c r="I226" i="18"/>
  <c r="J226" i="18"/>
  <c r="E227" i="18"/>
  <c r="F227" i="18"/>
  <c r="G227" i="18"/>
  <c r="H227" i="18"/>
  <c r="I227" i="18"/>
  <c r="J227" i="18"/>
  <c r="E228" i="18"/>
  <c r="F228" i="18"/>
  <c r="G228" i="18"/>
  <c r="H228" i="18"/>
  <c r="I228" i="18"/>
  <c r="J228" i="18"/>
  <c r="F221" i="18"/>
  <c r="G221" i="18"/>
  <c r="H221" i="18"/>
  <c r="I221" i="18"/>
  <c r="J221" i="18"/>
  <c r="E221" i="18"/>
  <c r="E213" i="18"/>
  <c r="F213" i="18"/>
  <c r="G213" i="18"/>
  <c r="H213" i="18"/>
  <c r="I213" i="18"/>
  <c r="J213" i="18"/>
  <c r="E214" i="18"/>
  <c r="F214" i="18"/>
  <c r="G214" i="18"/>
  <c r="H214" i="18"/>
  <c r="I214" i="18"/>
  <c r="J214" i="18"/>
  <c r="E215" i="18"/>
  <c r="F215" i="18"/>
  <c r="G215" i="18"/>
  <c r="H215" i="18"/>
  <c r="I215" i="18"/>
  <c r="J215" i="18"/>
  <c r="E216" i="18"/>
  <c r="F216" i="18"/>
  <c r="G216" i="18"/>
  <c r="H216" i="18"/>
  <c r="I216" i="18"/>
  <c r="J216" i="18"/>
  <c r="E217" i="18"/>
  <c r="F217" i="18"/>
  <c r="G217" i="18"/>
  <c r="H217" i="18"/>
  <c r="I217" i="18"/>
  <c r="J217" i="18"/>
  <c r="E218" i="18"/>
  <c r="F218" i="18"/>
  <c r="G218" i="18"/>
  <c r="H218" i="18"/>
  <c r="I218" i="18"/>
  <c r="J218" i="18"/>
  <c r="E219" i="18"/>
  <c r="F219" i="18"/>
  <c r="G219" i="18"/>
  <c r="H219" i="18"/>
  <c r="I219" i="18"/>
  <c r="J219" i="18"/>
  <c r="F212" i="18"/>
  <c r="G212" i="18"/>
  <c r="H212" i="18"/>
  <c r="I212" i="18"/>
  <c r="J212" i="18"/>
  <c r="E212" i="18"/>
  <c r="E204" i="18"/>
  <c r="F204" i="18"/>
  <c r="G204" i="18"/>
  <c r="H204" i="18"/>
  <c r="I204" i="18"/>
  <c r="J204" i="18"/>
  <c r="E205" i="18"/>
  <c r="F205" i="18"/>
  <c r="G205" i="18"/>
  <c r="H205" i="18"/>
  <c r="I205" i="18"/>
  <c r="J205" i="18"/>
  <c r="E206" i="18"/>
  <c r="F206" i="18"/>
  <c r="G206" i="18"/>
  <c r="H206" i="18"/>
  <c r="I206" i="18"/>
  <c r="J206" i="18"/>
  <c r="E207" i="18"/>
  <c r="F207" i="18"/>
  <c r="G207" i="18"/>
  <c r="H207" i="18"/>
  <c r="I207" i="18"/>
  <c r="J207" i="18"/>
  <c r="E208" i="18"/>
  <c r="F208" i="18"/>
  <c r="G208" i="18"/>
  <c r="H208" i="18"/>
  <c r="I208" i="18"/>
  <c r="J208" i="18"/>
  <c r="E209" i="18"/>
  <c r="F209" i="18"/>
  <c r="G209" i="18"/>
  <c r="H209" i="18"/>
  <c r="I209" i="18"/>
  <c r="J209" i="18"/>
  <c r="E210" i="18"/>
  <c r="F210" i="18"/>
  <c r="G210" i="18"/>
  <c r="H210" i="18"/>
  <c r="I210" i="18"/>
  <c r="J210" i="18"/>
  <c r="F203" i="18"/>
  <c r="G203" i="18"/>
  <c r="H203" i="18"/>
  <c r="I203" i="18"/>
  <c r="J203" i="18"/>
  <c r="E203" i="18"/>
  <c r="E195" i="18"/>
  <c r="F195" i="18"/>
  <c r="G195" i="18"/>
  <c r="H195" i="18"/>
  <c r="I195" i="18"/>
  <c r="J195" i="18"/>
  <c r="E196" i="18"/>
  <c r="F196" i="18"/>
  <c r="G196" i="18"/>
  <c r="H196" i="18"/>
  <c r="I196" i="18"/>
  <c r="J196" i="18"/>
  <c r="E197" i="18"/>
  <c r="F197" i="18"/>
  <c r="G197" i="18"/>
  <c r="H197" i="18"/>
  <c r="I197" i="18"/>
  <c r="J197" i="18"/>
  <c r="E198" i="18"/>
  <c r="F198" i="18"/>
  <c r="G198" i="18"/>
  <c r="H198" i="18"/>
  <c r="I198" i="18"/>
  <c r="J198" i="18"/>
  <c r="E199" i="18"/>
  <c r="F199" i="18"/>
  <c r="G199" i="18"/>
  <c r="H199" i="18"/>
  <c r="I199" i="18"/>
  <c r="J199" i="18"/>
  <c r="E200" i="18"/>
  <c r="F200" i="18"/>
  <c r="G200" i="18"/>
  <c r="H200" i="18"/>
  <c r="I200" i="18"/>
  <c r="J200" i="18"/>
  <c r="E201" i="18"/>
  <c r="F201" i="18"/>
  <c r="G201" i="18"/>
  <c r="H201" i="18"/>
  <c r="I201" i="18"/>
  <c r="J201" i="18"/>
  <c r="F194" i="18"/>
  <c r="G194" i="18"/>
  <c r="H194" i="18"/>
  <c r="I194" i="18"/>
  <c r="J194" i="18"/>
  <c r="E194" i="18"/>
  <c r="E186" i="18"/>
  <c r="F186" i="18"/>
  <c r="G186" i="18"/>
  <c r="H186" i="18"/>
  <c r="I186" i="18"/>
  <c r="J186" i="18"/>
  <c r="E187" i="18"/>
  <c r="F187" i="18"/>
  <c r="G187" i="18"/>
  <c r="H187" i="18"/>
  <c r="I187" i="18"/>
  <c r="J187" i="18"/>
  <c r="E188" i="18"/>
  <c r="F188" i="18"/>
  <c r="G188" i="18"/>
  <c r="H188" i="18"/>
  <c r="I188" i="18"/>
  <c r="J188" i="18"/>
  <c r="E189" i="18"/>
  <c r="F189" i="18"/>
  <c r="G189" i="18"/>
  <c r="H189" i="18"/>
  <c r="I189" i="18"/>
  <c r="J189" i="18"/>
  <c r="E190" i="18"/>
  <c r="F190" i="18"/>
  <c r="G190" i="18"/>
  <c r="H190" i="18"/>
  <c r="I190" i="18"/>
  <c r="J190" i="18"/>
  <c r="E191" i="18"/>
  <c r="F191" i="18"/>
  <c r="G191" i="18"/>
  <c r="H191" i="18"/>
  <c r="I191" i="18"/>
  <c r="J191" i="18"/>
  <c r="E192" i="18"/>
  <c r="F192" i="18"/>
  <c r="G192" i="18"/>
  <c r="H192" i="18"/>
  <c r="I192" i="18"/>
  <c r="J192" i="18"/>
  <c r="F185" i="18"/>
  <c r="G185" i="18"/>
  <c r="H185" i="18"/>
  <c r="I185" i="18"/>
  <c r="J185" i="18"/>
  <c r="E185" i="18"/>
  <c r="E177" i="18"/>
  <c r="F177" i="18"/>
  <c r="G177" i="18"/>
  <c r="H177" i="18"/>
  <c r="I177" i="18"/>
  <c r="J177" i="18"/>
  <c r="E178" i="18"/>
  <c r="F178" i="18"/>
  <c r="G178" i="18"/>
  <c r="H178" i="18"/>
  <c r="I178" i="18"/>
  <c r="J178" i="18"/>
  <c r="E179" i="18"/>
  <c r="F179" i="18"/>
  <c r="G179" i="18"/>
  <c r="H179" i="18"/>
  <c r="I179" i="18"/>
  <c r="J179" i="18"/>
  <c r="E180" i="18"/>
  <c r="F180" i="18"/>
  <c r="G180" i="18"/>
  <c r="H180" i="18"/>
  <c r="I180" i="18"/>
  <c r="J180" i="18"/>
  <c r="E181" i="18"/>
  <c r="F181" i="18"/>
  <c r="G181" i="18"/>
  <c r="H181" i="18"/>
  <c r="I181" i="18"/>
  <c r="J181" i="18"/>
  <c r="E182" i="18"/>
  <c r="F182" i="18"/>
  <c r="G182" i="18"/>
  <c r="H182" i="18"/>
  <c r="I182" i="18"/>
  <c r="J182" i="18"/>
  <c r="E183" i="18"/>
  <c r="F183" i="18"/>
  <c r="G183" i="18"/>
  <c r="H183" i="18"/>
  <c r="I183" i="18"/>
  <c r="J183" i="18"/>
  <c r="F176" i="18"/>
  <c r="G176" i="18"/>
  <c r="H176" i="18"/>
  <c r="I176" i="18"/>
  <c r="J176" i="18"/>
  <c r="E176" i="18"/>
  <c r="E168" i="18"/>
  <c r="F168" i="18"/>
  <c r="G168" i="18"/>
  <c r="H168" i="18"/>
  <c r="I168" i="18"/>
  <c r="J168" i="18"/>
  <c r="E169" i="18"/>
  <c r="F169" i="18"/>
  <c r="G169" i="18"/>
  <c r="H169" i="18"/>
  <c r="I169" i="18"/>
  <c r="J169" i="18"/>
  <c r="E170" i="18"/>
  <c r="F170" i="18"/>
  <c r="G170" i="18"/>
  <c r="H170" i="18"/>
  <c r="I170" i="18"/>
  <c r="J170" i="18"/>
  <c r="E171" i="18"/>
  <c r="F171" i="18"/>
  <c r="G171" i="18"/>
  <c r="H171" i="18"/>
  <c r="I171" i="18"/>
  <c r="J171" i="18"/>
  <c r="E172" i="18"/>
  <c r="F172" i="18"/>
  <c r="G172" i="18"/>
  <c r="H172" i="18"/>
  <c r="I172" i="18"/>
  <c r="J172" i="18"/>
  <c r="E173" i="18"/>
  <c r="F173" i="18"/>
  <c r="G173" i="18"/>
  <c r="H173" i="18"/>
  <c r="I173" i="18"/>
  <c r="J173" i="18"/>
  <c r="E174" i="18"/>
  <c r="F174" i="18"/>
  <c r="G174" i="18"/>
  <c r="H174" i="18"/>
  <c r="I174" i="18"/>
  <c r="J174" i="18"/>
  <c r="F167" i="18"/>
  <c r="G167" i="18"/>
  <c r="H167" i="18"/>
  <c r="I167" i="18"/>
  <c r="J167" i="18"/>
  <c r="E167" i="18"/>
  <c r="E159" i="18"/>
  <c r="F159" i="18"/>
  <c r="G159" i="18"/>
  <c r="H159" i="18"/>
  <c r="I159" i="18"/>
  <c r="J159" i="18"/>
  <c r="E160" i="18"/>
  <c r="F160" i="18"/>
  <c r="G160" i="18"/>
  <c r="H160" i="18"/>
  <c r="I160" i="18"/>
  <c r="J160" i="18"/>
  <c r="E161" i="18"/>
  <c r="F161" i="18"/>
  <c r="G161" i="18"/>
  <c r="H161" i="18"/>
  <c r="I161" i="18"/>
  <c r="J161" i="18"/>
  <c r="E162" i="18"/>
  <c r="F162" i="18"/>
  <c r="G162" i="18"/>
  <c r="H162" i="18"/>
  <c r="I162" i="18"/>
  <c r="J162" i="18"/>
  <c r="E163" i="18"/>
  <c r="F163" i="18"/>
  <c r="G163" i="18"/>
  <c r="H163" i="18"/>
  <c r="I163" i="18"/>
  <c r="J163" i="18"/>
  <c r="E164" i="18"/>
  <c r="F164" i="18"/>
  <c r="G164" i="18"/>
  <c r="H164" i="18"/>
  <c r="I164" i="18"/>
  <c r="J164" i="18"/>
  <c r="E165" i="18"/>
  <c r="F165" i="18"/>
  <c r="G165" i="18"/>
  <c r="H165" i="18"/>
  <c r="I165" i="18"/>
  <c r="J165" i="18"/>
  <c r="F158" i="18"/>
  <c r="G158" i="18"/>
  <c r="H158" i="18"/>
  <c r="I158" i="18"/>
  <c r="J158" i="18"/>
  <c r="E158" i="18"/>
  <c r="E150" i="18"/>
  <c r="F150" i="18"/>
  <c r="G150" i="18"/>
  <c r="H150" i="18"/>
  <c r="I150" i="18"/>
  <c r="J150" i="18"/>
  <c r="E151" i="18"/>
  <c r="F151" i="18"/>
  <c r="G151" i="18"/>
  <c r="H151" i="18"/>
  <c r="I151" i="18"/>
  <c r="J151" i="18"/>
  <c r="E152" i="18"/>
  <c r="F152" i="18"/>
  <c r="G152" i="18"/>
  <c r="H152" i="18"/>
  <c r="I152" i="18"/>
  <c r="J152" i="18"/>
  <c r="E153" i="18"/>
  <c r="F153" i="18"/>
  <c r="G153" i="18"/>
  <c r="H153" i="18"/>
  <c r="I153" i="18"/>
  <c r="J153" i="18"/>
  <c r="E154" i="18"/>
  <c r="F154" i="18"/>
  <c r="G154" i="18"/>
  <c r="H154" i="18"/>
  <c r="I154" i="18"/>
  <c r="J154" i="18"/>
  <c r="E155" i="18"/>
  <c r="F155" i="18"/>
  <c r="G155" i="18"/>
  <c r="H155" i="18"/>
  <c r="I155" i="18"/>
  <c r="J155" i="18"/>
  <c r="E156" i="18"/>
  <c r="F156" i="18"/>
  <c r="G156" i="18"/>
  <c r="H156" i="18"/>
  <c r="I156" i="18"/>
  <c r="J156" i="18"/>
  <c r="F149" i="18"/>
  <c r="G149" i="18"/>
  <c r="H149" i="18"/>
  <c r="I149" i="18"/>
  <c r="J149" i="18"/>
  <c r="E149" i="18"/>
  <c r="E141" i="18"/>
  <c r="F141" i="18"/>
  <c r="G141" i="18"/>
  <c r="H141" i="18"/>
  <c r="I141" i="18"/>
  <c r="J141" i="18"/>
  <c r="E142" i="18"/>
  <c r="F142" i="18"/>
  <c r="G142" i="18"/>
  <c r="H142" i="18"/>
  <c r="I142" i="18"/>
  <c r="J142" i="18"/>
  <c r="E143" i="18"/>
  <c r="F143" i="18"/>
  <c r="G143" i="18"/>
  <c r="H143" i="18"/>
  <c r="I143" i="18"/>
  <c r="J143" i="18"/>
  <c r="E144" i="18"/>
  <c r="F144" i="18"/>
  <c r="G144" i="18"/>
  <c r="H144" i="18"/>
  <c r="I144" i="18"/>
  <c r="J144" i="18"/>
  <c r="E145" i="18"/>
  <c r="F145" i="18"/>
  <c r="G145" i="18"/>
  <c r="H145" i="18"/>
  <c r="I145" i="18"/>
  <c r="J145" i="18"/>
  <c r="E146" i="18"/>
  <c r="F146" i="18"/>
  <c r="G146" i="18"/>
  <c r="H146" i="18"/>
  <c r="I146" i="18"/>
  <c r="J146" i="18"/>
  <c r="E147" i="18"/>
  <c r="F147" i="18"/>
  <c r="G147" i="18"/>
  <c r="H147" i="18"/>
  <c r="I147" i="18"/>
  <c r="J147" i="18"/>
  <c r="F140" i="18"/>
  <c r="G140" i="18"/>
  <c r="H140" i="18"/>
  <c r="I140" i="18"/>
  <c r="J140" i="18"/>
  <c r="E140" i="18"/>
  <c r="E132" i="18"/>
  <c r="F132" i="18"/>
  <c r="G132" i="18"/>
  <c r="H132" i="18"/>
  <c r="I132" i="18"/>
  <c r="J132" i="18"/>
  <c r="E133" i="18"/>
  <c r="F133" i="18"/>
  <c r="G133" i="18"/>
  <c r="H133" i="18"/>
  <c r="I133" i="18"/>
  <c r="J133" i="18"/>
  <c r="E134" i="18"/>
  <c r="F134" i="18"/>
  <c r="G134" i="18"/>
  <c r="H134" i="18"/>
  <c r="I134" i="18"/>
  <c r="J134" i="18"/>
  <c r="E135" i="18"/>
  <c r="F135" i="18"/>
  <c r="G135" i="18"/>
  <c r="H135" i="18"/>
  <c r="I135" i="18"/>
  <c r="J135" i="18"/>
  <c r="E136" i="18"/>
  <c r="F136" i="18"/>
  <c r="G136" i="18"/>
  <c r="H136" i="18"/>
  <c r="I136" i="18"/>
  <c r="J136" i="18"/>
  <c r="E137" i="18"/>
  <c r="F137" i="18"/>
  <c r="G137" i="18"/>
  <c r="H137" i="18"/>
  <c r="I137" i="18"/>
  <c r="J137" i="18"/>
  <c r="E138" i="18"/>
  <c r="F138" i="18"/>
  <c r="G138" i="18"/>
  <c r="H138" i="18"/>
  <c r="I138" i="18"/>
  <c r="J138" i="18"/>
  <c r="F131" i="18"/>
  <c r="G131" i="18"/>
  <c r="H131" i="18"/>
  <c r="I131" i="18"/>
  <c r="J131" i="18"/>
  <c r="E131" i="18"/>
  <c r="E123" i="18"/>
  <c r="F123" i="18"/>
  <c r="G123" i="18"/>
  <c r="H123" i="18"/>
  <c r="I123" i="18"/>
  <c r="J123" i="18"/>
  <c r="E124" i="18"/>
  <c r="F124" i="18"/>
  <c r="G124" i="18"/>
  <c r="H124" i="18"/>
  <c r="I124" i="18"/>
  <c r="J124" i="18"/>
  <c r="E125" i="18"/>
  <c r="F125" i="18"/>
  <c r="G125" i="18"/>
  <c r="H125" i="18"/>
  <c r="I125" i="18"/>
  <c r="J125" i="18"/>
  <c r="E126" i="18"/>
  <c r="F126" i="18"/>
  <c r="G126" i="18"/>
  <c r="H126" i="18"/>
  <c r="I126" i="18"/>
  <c r="J126" i="18"/>
  <c r="E127" i="18"/>
  <c r="F127" i="18"/>
  <c r="G127" i="18"/>
  <c r="H127" i="18"/>
  <c r="I127" i="18"/>
  <c r="J127" i="18"/>
  <c r="E128" i="18"/>
  <c r="F128" i="18"/>
  <c r="G128" i="18"/>
  <c r="H128" i="18"/>
  <c r="I128" i="18"/>
  <c r="J128" i="18"/>
  <c r="E129" i="18"/>
  <c r="F129" i="18"/>
  <c r="G129" i="18"/>
  <c r="H129" i="18"/>
  <c r="I129" i="18"/>
  <c r="J129" i="18"/>
  <c r="F122" i="18"/>
  <c r="G122" i="18"/>
  <c r="H122" i="18"/>
  <c r="I122" i="18"/>
  <c r="J122" i="18"/>
  <c r="E122" i="18"/>
  <c r="E114" i="18"/>
  <c r="F114" i="18"/>
  <c r="G114" i="18"/>
  <c r="H114" i="18"/>
  <c r="I114" i="18"/>
  <c r="J114" i="18"/>
  <c r="E115" i="18"/>
  <c r="F115" i="18"/>
  <c r="G115" i="18"/>
  <c r="H115" i="18"/>
  <c r="I115" i="18"/>
  <c r="J115" i="18"/>
  <c r="E116" i="18"/>
  <c r="F116" i="18"/>
  <c r="G116" i="18"/>
  <c r="H116" i="18"/>
  <c r="I116" i="18"/>
  <c r="J116" i="18"/>
  <c r="E117" i="18"/>
  <c r="F117" i="18"/>
  <c r="G117" i="18"/>
  <c r="H117" i="18"/>
  <c r="I117" i="18"/>
  <c r="J117" i="18"/>
  <c r="E118" i="18"/>
  <c r="F118" i="18"/>
  <c r="G118" i="18"/>
  <c r="H118" i="18"/>
  <c r="I118" i="18"/>
  <c r="J118" i="18"/>
  <c r="E119" i="18"/>
  <c r="F119" i="18"/>
  <c r="G119" i="18"/>
  <c r="H119" i="18"/>
  <c r="I119" i="18"/>
  <c r="J119" i="18"/>
  <c r="E120" i="18"/>
  <c r="F120" i="18"/>
  <c r="G120" i="18"/>
  <c r="H120" i="18"/>
  <c r="I120" i="18"/>
  <c r="J120" i="18"/>
  <c r="F113" i="18"/>
  <c r="G113" i="18"/>
  <c r="H113" i="18"/>
  <c r="I113" i="18"/>
  <c r="J113" i="18"/>
  <c r="E113" i="18"/>
  <c r="E105" i="18"/>
  <c r="F105" i="18"/>
  <c r="G105" i="18"/>
  <c r="H105" i="18"/>
  <c r="I105" i="18"/>
  <c r="J105" i="18"/>
  <c r="E106" i="18"/>
  <c r="F106" i="18"/>
  <c r="G106" i="18"/>
  <c r="H106" i="18"/>
  <c r="I106" i="18"/>
  <c r="J106" i="18"/>
  <c r="E107" i="18"/>
  <c r="F107" i="18"/>
  <c r="G107" i="18"/>
  <c r="H107" i="18"/>
  <c r="I107" i="18"/>
  <c r="J107" i="18"/>
  <c r="E108" i="18"/>
  <c r="F108" i="18"/>
  <c r="G108" i="18"/>
  <c r="H108" i="18"/>
  <c r="I108" i="18"/>
  <c r="J108" i="18"/>
  <c r="E109" i="18"/>
  <c r="F109" i="18"/>
  <c r="G109" i="18"/>
  <c r="H109" i="18"/>
  <c r="I109" i="18"/>
  <c r="J109" i="18"/>
  <c r="E110" i="18"/>
  <c r="F110" i="18"/>
  <c r="G110" i="18"/>
  <c r="H110" i="18"/>
  <c r="I110" i="18"/>
  <c r="J110" i="18"/>
  <c r="E111" i="18"/>
  <c r="F111" i="18"/>
  <c r="G111" i="18"/>
  <c r="H111" i="18"/>
  <c r="I111" i="18"/>
  <c r="J111" i="18"/>
  <c r="F104" i="18"/>
  <c r="G104" i="18"/>
  <c r="H104" i="18"/>
  <c r="I104" i="18"/>
  <c r="J104" i="18"/>
  <c r="E104" i="18"/>
  <c r="E96" i="18"/>
  <c r="F96" i="18"/>
  <c r="G96" i="18"/>
  <c r="H96" i="18"/>
  <c r="I96" i="18"/>
  <c r="J96" i="18"/>
  <c r="E97" i="18"/>
  <c r="F97" i="18"/>
  <c r="G97" i="18"/>
  <c r="H97" i="18"/>
  <c r="I97" i="18"/>
  <c r="J97" i="18"/>
  <c r="E98" i="18"/>
  <c r="F98" i="18"/>
  <c r="G98" i="18"/>
  <c r="H98" i="18"/>
  <c r="I98" i="18"/>
  <c r="J98" i="18"/>
  <c r="E99" i="18"/>
  <c r="F99" i="18"/>
  <c r="G99" i="18"/>
  <c r="H99" i="18"/>
  <c r="I99" i="18"/>
  <c r="J99" i="18"/>
  <c r="E100" i="18"/>
  <c r="F100" i="18"/>
  <c r="G100" i="18"/>
  <c r="H100" i="18"/>
  <c r="I100" i="18"/>
  <c r="J100" i="18"/>
  <c r="E101" i="18"/>
  <c r="F101" i="18"/>
  <c r="G101" i="18"/>
  <c r="H101" i="18"/>
  <c r="I101" i="18"/>
  <c r="J101" i="18"/>
  <c r="E102" i="18"/>
  <c r="F102" i="18"/>
  <c r="G102" i="18"/>
  <c r="H102" i="18"/>
  <c r="I102" i="18"/>
  <c r="J102" i="18"/>
  <c r="F95" i="18"/>
  <c r="G95" i="18"/>
  <c r="H95" i="18"/>
  <c r="I95" i="18"/>
  <c r="J95" i="18"/>
  <c r="E95" i="18"/>
  <c r="E87" i="18"/>
  <c r="F87" i="18"/>
  <c r="G87" i="18"/>
  <c r="H87" i="18"/>
  <c r="I87" i="18"/>
  <c r="J87" i="18"/>
  <c r="E88" i="18"/>
  <c r="F88" i="18"/>
  <c r="G88" i="18"/>
  <c r="H88" i="18"/>
  <c r="I88" i="18"/>
  <c r="J88" i="18"/>
  <c r="E89" i="18"/>
  <c r="F89" i="18"/>
  <c r="G89" i="18"/>
  <c r="H89" i="18"/>
  <c r="I89" i="18"/>
  <c r="J89" i="18"/>
  <c r="E90" i="18"/>
  <c r="F90" i="18"/>
  <c r="G90" i="18"/>
  <c r="H90" i="18"/>
  <c r="I90" i="18"/>
  <c r="J90" i="18"/>
  <c r="E91" i="18"/>
  <c r="F91" i="18"/>
  <c r="G91" i="18"/>
  <c r="H91" i="18"/>
  <c r="I91" i="18"/>
  <c r="J91" i="18"/>
  <c r="E92" i="18"/>
  <c r="F92" i="18"/>
  <c r="G92" i="18"/>
  <c r="H92" i="18"/>
  <c r="I92" i="18"/>
  <c r="J92" i="18"/>
  <c r="E93" i="18"/>
  <c r="F93" i="18"/>
  <c r="G93" i="18"/>
  <c r="H93" i="18"/>
  <c r="I93" i="18"/>
  <c r="J93" i="18"/>
  <c r="F86" i="18"/>
  <c r="G86" i="18"/>
  <c r="H86" i="18"/>
  <c r="I86" i="18"/>
  <c r="J86" i="18"/>
  <c r="E86" i="18"/>
  <c r="E78" i="18"/>
  <c r="F78" i="18"/>
  <c r="G78" i="18"/>
  <c r="H78" i="18"/>
  <c r="I78" i="18"/>
  <c r="J78" i="18"/>
  <c r="E79" i="18"/>
  <c r="F79" i="18"/>
  <c r="G79" i="18"/>
  <c r="H79" i="18"/>
  <c r="I79" i="18"/>
  <c r="J79" i="18"/>
  <c r="E80" i="18"/>
  <c r="F80" i="18"/>
  <c r="G80" i="18"/>
  <c r="H80" i="18"/>
  <c r="I80" i="18"/>
  <c r="J80" i="18"/>
  <c r="E81" i="18"/>
  <c r="F81" i="18"/>
  <c r="G81" i="18"/>
  <c r="H81" i="18"/>
  <c r="I81" i="18"/>
  <c r="J81" i="18"/>
  <c r="E82" i="18"/>
  <c r="F82" i="18"/>
  <c r="G82" i="18"/>
  <c r="H82" i="18"/>
  <c r="I82" i="18"/>
  <c r="J82" i="18"/>
  <c r="E83" i="18"/>
  <c r="F83" i="18"/>
  <c r="G83" i="18"/>
  <c r="H83" i="18"/>
  <c r="I83" i="18"/>
  <c r="J83" i="18"/>
  <c r="E84" i="18"/>
  <c r="F84" i="18"/>
  <c r="G84" i="18"/>
  <c r="H84" i="18"/>
  <c r="I84" i="18"/>
  <c r="J84" i="18"/>
  <c r="F77" i="18"/>
  <c r="G77" i="18"/>
  <c r="H77" i="18"/>
  <c r="I77" i="18"/>
  <c r="J77" i="18"/>
  <c r="E77" i="18"/>
  <c r="E69" i="18"/>
  <c r="F69" i="18"/>
  <c r="G69" i="18"/>
  <c r="H69" i="18"/>
  <c r="I69" i="18"/>
  <c r="J69" i="18"/>
  <c r="E70" i="18"/>
  <c r="F70" i="18"/>
  <c r="G70" i="18"/>
  <c r="H70" i="18"/>
  <c r="I70" i="18"/>
  <c r="J70" i="18"/>
  <c r="E71" i="18"/>
  <c r="F71" i="18"/>
  <c r="G71" i="18"/>
  <c r="H71" i="18"/>
  <c r="I71" i="18"/>
  <c r="J71" i="18"/>
  <c r="E72" i="18"/>
  <c r="F72" i="18"/>
  <c r="G72" i="18"/>
  <c r="H72" i="18"/>
  <c r="I72" i="18"/>
  <c r="J72" i="18"/>
  <c r="E73" i="18"/>
  <c r="F73" i="18"/>
  <c r="G73" i="18"/>
  <c r="H73" i="18"/>
  <c r="I73" i="18"/>
  <c r="J73" i="18"/>
  <c r="E74" i="18"/>
  <c r="F74" i="18"/>
  <c r="G74" i="18"/>
  <c r="H74" i="18"/>
  <c r="I74" i="18"/>
  <c r="J74" i="18"/>
  <c r="E75" i="18"/>
  <c r="F75" i="18"/>
  <c r="G75" i="18"/>
  <c r="H75" i="18"/>
  <c r="I75" i="18"/>
  <c r="J75" i="18"/>
  <c r="F68" i="18"/>
  <c r="G68" i="18"/>
  <c r="H68" i="18"/>
  <c r="I68" i="18"/>
  <c r="J68" i="18"/>
  <c r="E68" i="18"/>
  <c r="E60" i="18"/>
  <c r="F60" i="18"/>
  <c r="G60" i="18"/>
  <c r="H60" i="18"/>
  <c r="I60" i="18"/>
  <c r="J60" i="18"/>
  <c r="E61" i="18"/>
  <c r="F61" i="18"/>
  <c r="G61" i="18"/>
  <c r="H61" i="18"/>
  <c r="I61" i="18"/>
  <c r="J61" i="18"/>
  <c r="E62" i="18"/>
  <c r="F62" i="18"/>
  <c r="G62" i="18"/>
  <c r="H62" i="18"/>
  <c r="I62" i="18"/>
  <c r="J62" i="18"/>
  <c r="E63" i="18"/>
  <c r="F63" i="18"/>
  <c r="G63" i="18"/>
  <c r="H63" i="18"/>
  <c r="I63" i="18"/>
  <c r="J63" i="18"/>
  <c r="E64" i="18"/>
  <c r="F64" i="18"/>
  <c r="G64" i="18"/>
  <c r="H64" i="18"/>
  <c r="I64" i="18"/>
  <c r="J64" i="18"/>
  <c r="E65" i="18"/>
  <c r="F65" i="18"/>
  <c r="G65" i="18"/>
  <c r="H65" i="18"/>
  <c r="I65" i="18"/>
  <c r="J65" i="18"/>
  <c r="E66" i="18"/>
  <c r="F66" i="18"/>
  <c r="G66" i="18"/>
  <c r="H66" i="18"/>
  <c r="I66" i="18"/>
  <c r="J66" i="18"/>
  <c r="F59" i="18"/>
  <c r="G59" i="18"/>
  <c r="H59" i="18"/>
  <c r="I59" i="18"/>
  <c r="J59" i="18"/>
  <c r="E59" i="18"/>
  <c r="E51" i="18"/>
  <c r="F51" i="18"/>
  <c r="G51" i="18"/>
  <c r="H51" i="18"/>
  <c r="I51" i="18"/>
  <c r="J51" i="18"/>
  <c r="E52" i="18"/>
  <c r="F52" i="18"/>
  <c r="G52" i="18"/>
  <c r="H52" i="18"/>
  <c r="I52" i="18"/>
  <c r="J52" i="18"/>
  <c r="E53" i="18"/>
  <c r="F53" i="18"/>
  <c r="G53" i="18"/>
  <c r="H53" i="18"/>
  <c r="I53" i="18"/>
  <c r="J53" i="18"/>
  <c r="E54" i="18"/>
  <c r="F54" i="18"/>
  <c r="G54" i="18"/>
  <c r="H54" i="18"/>
  <c r="I54" i="18"/>
  <c r="J54" i="18"/>
  <c r="E55" i="18"/>
  <c r="F55" i="18"/>
  <c r="G55" i="18"/>
  <c r="H55" i="18"/>
  <c r="I55" i="18"/>
  <c r="J55" i="18"/>
  <c r="E56" i="18"/>
  <c r="F56" i="18"/>
  <c r="G56" i="18"/>
  <c r="H56" i="18"/>
  <c r="I56" i="18"/>
  <c r="J56" i="18"/>
  <c r="E57" i="18"/>
  <c r="F57" i="18"/>
  <c r="G57" i="18"/>
  <c r="H57" i="18"/>
  <c r="I57" i="18"/>
  <c r="J57" i="18"/>
  <c r="F50" i="18"/>
  <c r="G50" i="18"/>
  <c r="H50" i="18"/>
  <c r="I50" i="18"/>
  <c r="J50" i="18"/>
  <c r="E50" i="18"/>
  <c r="E42" i="18"/>
  <c r="F42" i="18"/>
  <c r="G42" i="18"/>
  <c r="H42" i="18"/>
  <c r="I42" i="18"/>
  <c r="J42" i="18"/>
  <c r="E43" i="18"/>
  <c r="F43" i="18"/>
  <c r="G43" i="18"/>
  <c r="H43" i="18"/>
  <c r="I43" i="18"/>
  <c r="J43" i="18"/>
  <c r="E44" i="18"/>
  <c r="F44" i="18"/>
  <c r="G44" i="18"/>
  <c r="H44" i="18"/>
  <c r="I44" i="18"/>
  <c r="J44" i="18"/>
  <c r="E45" i="18"/>
  <c r="F45" i="18"/>
  <c r="G45" i="18"/>
  <c r="H45" i="18"/>
  <c r="I45" i="18"/>
  <c r="J45" i="18"/>
  <c r="E46" i="18"/>
  <c r="F46" i="18"/>
  <c r="G46" i="18"/>
  <c r="H46" i="18"/>
  <c r="I46" i="18"/>
  <c r="J46" i="18"/>
  <c r="E47" i="18"/>
  <c r="F47" i="18"/>
  <c r="G47" i="18"/>
  <c r="H47" i="18"/>
  <c r="I47" i="18"/>
  <c r="J47" i="18"/>
  <c r="E48" i="18"/>
  <c r="F48" i="18"/>
  <c r="G48" i="18"/>
  <c r="H48" i="18"/>
  <c r="I48" i="18"/>
  <c r="J48" i="18"/>
  <c r="F41" i="18"/>
  <c r="G41" i="18"/>
  <c r="H41" i="18"/>
  <c r="I41" i="18"/>
  <c r="J41" i="18"/>
  <c r="E41" i="18"/>
  <c r="E33" i="18"/>
  <c r="F33" i="18"/>
  <c r="G33" i="18"/>
  <c r="H33" i="18"/>
  <c r="I33" i="18"/>
  <c r="J33" i="18"/>
  <c r="E34" i="18"/>
  <c r="F34" i="18"/>
  <c r="G34" i="18"/>
  <c r="H34" i="18"/>
  <c r="I34" i="18"/>
  <c r="J34" i="18"/>
  <c r="E35" i="18"/>
  <c r="F35" i="18"/>
  <c r="G35" i="18"/>
  <c r="H35" i="18"/>
  <c r="I35" i="18"/>
  <c r="J35" i="18"/>
  <c r="E36" i="18"/>
  <c r="F36" i="18"/>
  <c r="G36" i="18"/>
  <c r="H36" i="18"/>
  <c r="I36" i="18"/>
  <c r="J36" i="18"/>
  <c r="E37" i="18"/>
  <c r="F37" i="18"/>
  <c r="G37" i="18"/>
  <c r="H37" i="18"/>
  <c r="I37" i="18"/>
  <c r="J37" i="18"/>
  <c r="E38" i="18"/>
  <c r="F38" i="18"/>
  <c r="G38" i="18"/>
  <c r="H38" i="18"/>
  <c r="I38" i="18"/>
  <c r="J38" i="18"/>
  <c r="E39" i="18"/>
  <c r="F39" i="18"/>
  <c r="G39" i="18"/>
  <c r="H39" i="18"/>
  <c r="I39" i="18"/>
  <c r="J39" i="18"/>
  <c r="F32" i="18"/>
  <c r="G32" i="18"/>
  <c r="H32" i="18"/>
  <c r="I32" i="18"/>
  <c r="J32" i="18"/>
  <c r="E32" i="18"/>
  <c r="E24" i="18"/>
  <c r="F24" i="18"/>
  <c r="G24" i="18"/>
  <c r="H24" i="18"/>
  <c r="I24" i="18"/>
  <c r="J24" i="18"/>
  <c r="E25" i="18"/>
  <c r="F25" i="18"/>
  <c r="G25" i="18"/>
  <c r="H25" i="18"/>
  <c r="I25" i="18"/>
  <c r="J25" i="18"/>
  <c r="E26" i="18"/>
  <c r="F26" i="18"/>
  <c r="G26" i="18"/>
  <c r="H26" i="18"/>
  <c r="I26" i="18"/>
  <c r="J26" i="18"/>
  <c r="E27" i="18"/>
  <c r="F27" i="18"/>
  <c r="G27" i="18"/>
  <c r="H27" i="18"/>
  <c r="I27" i="18"/>
  <c r="J27" i="18"/>
  <c r="E28" i="18"/>
  <c r="F28" i="18"/>
  <c r="G28" i="18"/>
  <c r="H28" i="18"/>
  <c r="I28" i="18"/>
  <c r="J28" i="18"/>
  <c r="E29" i="18"/>
  <c r="F29" i="18"/>
  <c r="G29" i="18"/>
  <c r="H29" i="18"/>
  <c r="I29" i="18"/>
  <c r="J29" i="18"/>
  <c r="E30" i="18"/>
  <c r="F30" i="18"/>
  <c r="G30" i="18"/>
  <c r="H30" i="18"/>
  <c r="I30" i="18"/>
  <c r="J30" i="18"/>
  <c r="F23" i="18"/>
  <c r="G23" i="18"/>
  <c r="H23" i="18"/>
  <c r="I23" i="18"/>
  <c r="J23" i="18"/>
  <c r="E23" i="18"/>
  <c r="E15" i="18"/>
  <c r="F15" i="18"/>
  <c r="G15" i="18"/>
  <c r="H15" i="18"/>
  <c r="I15" i="18"/>
  <c r="J15" i="18"/>
  <c r="E16" i="18"/>
  <c r="F16" i="18"/>
  <c r="G16" i="18"/>
  <c r="H16" i="18"/>
  <c r="I16" i="18"/>
  <c r="J16" i="18"/>
  <c r="E17" i="18"/>
  <c r="F17" i="18"/>
  <c r="G17" i="18"/>
  <c r="H17" i="18"/>
  <c r="I17" i="18"/>
  <c r="J17" i="18"/>
  <c r="E18" i="18"/>
  <c r="F18" i="18"/>
  <c r="G18" i="18"/>
  <c r="H18" i="18"/>
  <c r="I18" i="18"/>
  <c r="J18" i="18"/>
  <c r="E19" i="18"/>
  <c r="F19" i="18"/>
  <c r="G19" i="18"/>
  <c r="H19" i="18"/>
  <c r="I19" i="18"/>
  <c r="J19" i="18"/>
  <c r="E20" i="18"/>
  <c r="F20" i="18"/>
  <c r="G20" i="18"/>
  <c r="H20" i="18"/>
  <c r="I20" i="18"/>
  <c r="J20" i="18"/>
  <c r="E21" i="18"/>
  <c r="F21" i="18"/>
  <c r="G21" i="18"/>
  <c r="H21" i="18"/>
  <c r="I21" i="18"/>
  <c r="J21" i="18"/>
  <c r="F14" i="18"/>
  <c r="G14" i="18"/>
  <c r="H14" i="18"/>
  <c r="I14" i="18"/>
  <c r="J14" i="18"/>
  <c r="E14" i="18"/>
  <c r="B7" i="13"/>
  <c r="B25" i="13" s="1"/>
  <c r="B8" i="13"/>
  <c r="B26" i="13" s="1"/>
  <c r="B9" i="13"/>
  <c r="B27" i="13" s="1"/>
  <c r="B10" i="13"/>
  <c r="B28" i="13" s="1"/>
  <c r="B11" i="13"/>
  <c r="B29" i="13" s="1"/>
  <c r="B12" i="13"/>
  <c r="B30" i="13" s="1"/>
  <c r="B13" i="13"/>
  <c r="B31" i="13" s="1"/>
  <c r="B14" i="13"/>
  <c r="B32" i="13" s="1"/>
  <c r="B15" i="13"/>
  <c r="B33" i="13" s="1"/>
  <c r="B16" i="13"/>
  <c r="B34" i="13" s="1"/>
  <c r="B17" i="13"/>
  <c r="B35" i="13" s="1"/>
  <c r="B18" i="13"/>
  <c r="B36" i="13" s="1"/>
  <c r="B19" i="13"/>
  <c r="B37" i="13" s="1"/>
  <c r="B20" i="13"/>
  <c r="B38" i="13" s="1"/>
  <c r="B21" i="13"/>
  <c r="B39" i="13" s="1"/>
  <c r="B6" i="13"/>
  <c r="B24" i="13" s="1"/>
  <c r="D7" i="13"/>
  <c r="D25" i="13" s="1"/>
  <c r="D8" i="13"/>
  <c r="D26" i="13" s="1"/>
  <c r="D9" i="13"/>
  <c r="D27" i="13" s="1"/>
  <c r="D10" i="13"/>
  <c r="D28" i="13" s="1"/>
  <c r="D11" i="13"/>
  <c r="D29" i="13" s="1"/>
  <c r="D12" i="13"/>
  <c r="D30" i="13" s="1"/>
  <c r="D13" i="13"/>
  <c r="D31" i="13" s="1"/>
  <c r="D14" i="13"/>
  <c r="D32" i="13" s="1"/>
  <c r="D15" i="13"/>
  <c r="D33" i="13" s="1"/>
  <c r="D16" i="13"/>
  <c r="D34" i="13" s="1"/>
  <c r="D17" i="13"/>
  <c r="D35" i="13" s="1"/>
  <c r="D18" i="13"/>
  <c r="D36" i="13" s="1"/>
  <c r="D19" i="13"/>
  <c r="D37" i="13" s="1"/>
  <c r="D20" i="13"/>
  <c r="D38" i="13" s="1"/>
  <c r="D21" i="13"/>
  <c r="D39" i="13" s="1"/>
  <c r="D6" i="13"/>
  <c r="D24" i="13" s="1"/>
  <c r="AH354" i="18" l="1"/>
  <c r="AH353" i="18"/>
  <c r="AH352" i="18"/>
  <c r="AH351" i="18"/>
  <c r="AH350" i="18"/>
  <c r="AH349" i="18"/>
  <c r="AH348" i="18"/>
  <c r="AH347" i="18"/>
  <c r="AH345" i="18"/>
  <c r="AH344" i="18"/>
  <c r="AH343" i="18"/>
  <c r="AH342" i="18"/>
  <c r="AH341" i="18"/>
  <c r="AH340" i="18"/>
  <c r="AH339" i="18"/>
  <c r="AH338" i="18"/>
  <c r="AH336" i="18"/>
  <c r="AH335" i="18"/>
  <c r="AH334" i="18"/>
  <c r="AH333" i="18"/>
  <c r="AH332" i="18"/>
  <c r="AH331" i="18"/>
  <c r="AH330" i="18"/>
  <c r="AH329" i="18"/>
  <c r="AH327" i="18"/>
  <c r="AH326" i="18"/>
  <c r="AH325" i="18"/>
  <c r="AH324" i="18"/>
  <c r="AH323" i="18"/>
  <c r="AH322" i="18"/>
  <c r="AH321" i="18"/>
  <c r="AH320" i="18"/>
  <c r="AH318" i="18"/>
  <c r="AH317" i="18"/>
  <c r="AH316" i="18"/>
  <c r="AH315" i="18"/>
  <c r="AH314" i="18"/>
  <c r="AH313" i="18"/>
  <c r="AH312" i="18"/>
  <c r="AH311" i="18"/>
  <c r="AH309" i="18"/>
  <c r="AH308" i="18"/>
  <c r="AH307" i="18"/>
  <c r="AH306" i="18"/>
  <c r="AH305" i="18"/>
  <c r="AH304" i="18"/>
  <c r="AH303" i="18"/>
  <c r="AH302" i="18"/>
  <c r="AH300" i="18"/>
  <c r="AH299" i="18"/>
  <c r="AH298" i="18"/>
  <c r="AH297" i="18"/>
  <c r="AH296" i="18"/>
  <c r="AH295" i="18"/>
  <c r="AH294" i="18"/>
  <c r="AH293" i="18"/>
  <c r="AH291" i="18"/>
  <c r="AH290" i="18"/>
  <c r="AH289" i="18"/>
  <c r="AH288" i="18"/>
  <c r="AH287" i="18"/>
  <c r="AH286" i="18"/>
  <c r="AH285" i="18"/>
  <c r="AH284" i="18"/>
  <c r="AH282" i="18"/>
  <c r="AH281" i="18"/>
  <c r="AH280" i="18"/>
  <c r="AH279" i="18"/>
  <c r="AH278" i="18"/>
  <c r="AH277" i="18"/>
  <c r="AH276" i="18"/>
  <c r="AH275" i="18"/>
  <c r="AH273" i="18"/>
  <c r="AH272" i="18"/>
  <c r="AH271" i="18"/>
  <c r="AH270" i="18"/>
  <c r="AH269" i="18"/>
  <c r="AH268" i="18"/>
  <c r="AH267" i="18"/>
  <c r="AH266" i="18"/>
  <c r="AH264" i="18"/>
  <c r="AH263" i="18"/>
  <c r="AH262" i="18"/>
  <c r="AH261" i="18"/>
  <c r="AH260" i="18"/>
  <c r="AH259" i="18"/>
  <c r="AH258" i="18"/>
  <c r="AH257" i="18"/>
  <c r="AH255" i="18"/>
  <c r="AH254" i="18"/>
  <c r="AH253" i="18"/>
  <c r="AH252" i="18"/>
  <c r="AH251" i="18"/>
  <c r="AH250" i="18"/>
  <c r="AH249" i="18"/>
  <c r="AH248" i="18"/>
  <c r="AH228" i="18"/>
  <c r="AH227" i="18"/>
  <c r="AH226" i="18"/>
  <c r="AH225" i="18"/>
  <c r="AH224" i="18"/>
  <c r="AH223" i="18"/>
  <c r="AH222" i="18"/>
  <c r="AH221" i="18"/>
  <c r="AH219" i="18"/>
  <c r="AH218" i="18"/>
  <c r="AH217" i="18"/>
  <c r="AH216" i="18"/>
  <c r="AH215" i="18"/>
  <c r="AH214" i="18"/>
  <c r="AH213" i="18"/>
  <c r="AH212" i="18"/>
  <c r="AH246" i="18"/>
  <c r="AH245" i="18"/>
  <c r="AH244" i="18"/>
  <c r="AH243" i="18"/>
  <c r="AH242" i="18"/>
  <c r="AH241" i="18"/>
  <c r="AH240" i="18"/>
  <c r="AH239" i="18"/>
  <c r="AH237" i="18"/>
  <c r="AH236" i="18"/>
  <c r="AH235" i="18"/>
  <c r="AH234" i="18"/>
  <c r="AH233" i="18"/>
  <c r="AH232" i="18"/>
  <c r="AH231" i="18"/>
  <c r="AH230" i="18"/>
  <c r="AH210" i="18"/>
  <c r="AH209" i="18"/>
  <c r="AH208" i="18"/>
  <c r="AH207" i="18"/>
  <c r="AH206" i="18"/>
  <c r="AH205" i="18"/>
  <c r="AH204" i="18"/>
  <c r="AH203" i="18"/>
  <c r="AH201" i="18"/>
  <c r="AH200" i="18"/>
  <c r="AH199" i="18"/>
  <c r="AH198" i="18"/>
  <c r="AH197" i="18"/>
  <c r="AH196" i="18"/>
  <c r="AH195" i="18"/>
  <c r="AH194" i="18"/>
  <c r="AH192" i="18"/>
  <c r="AH191" i="18"/>
  <c r="AH190" i="18"/>
  <c r="AH189" i="18"/>
  <c r="AH188" i="18"/>
  <c r="AH187" i="18"/>
  <c r="AH186" i="18"/>
  <c r="AH185" i="18"/>
  <c r="AH183" i="18"/>
  <c r="AH182" i="18"/>
  <c r="AH181" i="18"/>
  <c r="AH180" i="18"/>
  <c r="AH179" i="18"/>
  <c r="AH178" i="18"/>
  <c r="AH177" i="18"/>
  <c r="AH176" i="18"/>
  <c r="AH174" i="18"/>
  <c r="AH173" i="18"/>
  <c r="AH172" i="18"/>
  <c r="AH171" i="18"/>
  <c r="AH170" i="18"/>
  <c r="AH169" i="18"/>
  <c r="AH168" i="18"/>
  <c r="AH167" i="18"/>
  <c r="AH165" i="18"/>
  <c r="AH164" i="18"/>
  <c r="AH163" i="18"/>
  <c r="AH162" i="18"/>
  <c r="AH161" i="18"/>
  <c r="AH160" i="18"/>
  <c r="AH159" i="18"/>
  <c r="AH158" i="18"/>
  <c r="AH156" i="18"/>
  <c r="AH155" i="18"/>
  <c r="AH154" i="18"/>
  <c r="AH153" i="18"/>
  <c r="AH152" i="18"/>
  <c r="AH151" i="18"/>
  <c r="AH150" i="18"/>
  <c r="AH149" i="18"/>
  <c r="AH147" i="18"/>
  <c r="AH146" i="18"/>
  <c r="AH145" i="18"/>
  <c r="AH144" i="18"/>
  <c r="AH143" i="18"/>
  <c r="AH142" i="18"/>
  <c r="AH141" i="18"/>
  <c r="AH140" i="18"/>
  <c r="AH138" i="18"/>
  <c r="AH137" i="18"/>
  <c r="AH136" i="18"/>
  <c r="AH135" i="18"/>
  <c r="AH134" i="18"/>
  <c r="AH133" i="18"/>
  <c r="AH132" i="18"/>
  <c r="AH131" i="18"/>
  <c r="AH129" i="18"/>
  <c r="AH128" i="18"/>
  <c r="AH127" i="18"/>
  <c r="AH126" i="18"/>
  <c r="AH125" i="18"/>
  <c r="AH124" i="18"/>
  <c r="AH123" i="18"/>
  <c r="AH122" i="18"/>
  <c r="AH120" i="18"/>
  <c r="AH119" i="18"/>
  <c r="AH118" i="18"/>
  <c r="AH117" i="18"/>
  <c r="AH116" i="18"/>
  <c r="AH115" i="18"/>
  <c r="AH114" i="18"/>
  <c r="AH113" i="18"/>
  <c r="AH111" i="18"/>
  <c r="AH110" i="18"/>
  <c r="AH109" i="18"/>
  <c r="AH108" i="18"/>
  <c r="AH107" i="18"/>
  <c r="AH106" i="18"/>
  <c r="AH105" i="18"/>
  <c r="AH104" i="18"/>
  <c r="AH102" i="18"/>
  <c r="AH101" i="18"/>
  <c r="AH100" i="18"/>
  <c r="AH99" i="18"/>
  <c r="AH98" i="18"/>
  <c r="AH97" i="18"/>
  <c r="AH96" i="18"/>
  <c r="AH95" i="18"/>
  <c r="AH93" i="18"/>
  <c r="AH92" i="18"/>
  <c r="AH91" i="18"/>
  <c r="AH90" i="18"/>
  <c r="AH89" i="18"/>
  <c r="AH88" i="18"/>
  <c r="AH87" i="18"/>
  <c r="AH86" i="18"/>
  <c r="AH84" i="18"/>
  <c r="AH83" i="18"/>
  <c r="AH82" i="18"/>
  <c r="AH81" i="18"/>
  <c r="AH80" i="18"/>
  <c r="AH79" i="18"/>
  <c r="AH78" i="18"/>
  <c r="AH77" i="18"/>
  <c r="AH75" i="18"/>
  <c r="AH74" i="18"/>
  <c r="AH73" i="18"/>
  <c r="AH72" i="18"/>
  <c r="AH71" i="18"/>
  <c r="AH70" i="18"/>
  <c r="AH69" i="18"/>
  <c r="AH68" i="18"/>
  <c r="AH66" i="18"/>
  <c r="AH65" i="18"/>
  <c r="AH64" i="18"/>
  <c r="AH63" i="18"/>
  <c r="AH62" i="18"/>
  <c r="AH61" i="18"/>
  <c r="AH60" i="18"/>
  <c r="AH59" i="18"/>
  <c r="AH57" i="18"/>
  <c r="AH56" i="18"/>
  <c r="AH55" i="18"/>
  <c r="AH54" i="18"/>
  <c r="AH53" i="18"/>
  <c r="AH52" i="18"/>
  <c r="AH51" i="18"/>
  <c r="AH50" i="18"/>
  <c r="AH48" i="18"/>
  <c r="AH47" i="18"/>
  <c r="AH46" i="18"/>
  <c r="AH45" i="18"/>
  <c r="AH44" i="18"/>
  <c r="AH43" i="18"/>
  <c r="AH42" i="18"/>
  <c r="AH41" i="18"/>
  <c r="AH39" i="18"/>
  <c r="AH38" i="18"/>
  <c r="AH37" i="18"/>
  <c r="AH36" i="18"/>
  <c r="AH35" i="18"/>
  <c r="AH34" i="18"/>
  <c r="AH33" i="18"/>
  <c r="AH32" i="18"/>
  <c r="AH30" i="18"/>
  <c r="AH29" i="18"/>
  <c r="AH28" i="18"/>
  <c r="AH27" i="18"/>
  <c r="AH26" i="18"/>
  <c r="AH25" i="18"/>
  <c r="AH24" i="18"/>
  <c r="AH23" i="18"/>
  <c r="AH21" i="18"/>
  <c r="AH14" i="18"/>
  <c r="AO202" i="18"/>
  <c r="AO346" i="18"/>
  <c r="AO328" i="18"/>
  <c r="AO310" i="18"/>
  <c r="AO292" i="18"/>
  <c r="AO274" i="18"/>
  <c r="AO256" i="18"/>
  <c r="AO238" i="18"/>
  <c r="AO220" i="18"/>
  <c r="AO184" i="18"/>
  <c r="AO166" i="18"/>
  <c r="AO148" i="18"/>
  <c r="AO130" i="18"/>
  <c r="AO112" i="18"/>
  <c r="AH20" i="18"/>
  <c r="AH19" i="18"/>
  <c r="AH18" i="18"/>
  <c r="AH17" i="18"/>
  <c r="AH16" i="18"/>
  <c r="AH15" i="18"/>
  <c r="C15" i="13"/>
  <c r="C33" i="13" s="1"/>
  <c r="C16" i="13"/>
  <c r="C34" i="13" s="1"/>
  <c r="C17" i="13"/>
  <c r="C35" i="13" s="1"/>
  <c r="C18" i="13"/>
  <c r="C36" i="13" s="1"/>
  <c r="C19" i="13"/>
  <c r="C37" i="13" s="1"/>
  <c r="C20" i="13"/>
  <c r="C38" i="13" s="1"/>
  <c r="C21" i="13"/>
  <c r="C39" i="13" s="1"/>
  <c r="C14" i="13"/>
  <c r="C32" i="13" s="1"/>
  <c r="C7" i="13"/>
  <c r="C25" i="13" s="1"/>
  <c r="C8" i="13"/>
  <c r="C26" i="13" s="1"/>
  <c r="C9" i="13"/>
  <c r="C27" i="13" s="1"/>
  <c r="C10" i="13"/>
  <c r="C28" i="13" s="1"/>
  <c r="C11" i="13"/>
  <c r="C29" i="13" s="1"/>
  <c r="C12" i="13"/>
  <c r="C30" i="13" s="1"/>
  <c r="C13" i="13"/>
  <c r="C31" i="13" s="1"/>
  <c r="C6" i="13"/>
  <c r="AO15" i="18" l="1"/>
  <c r="F7" i="11" s="1"/>
  <c r="AN15" i="18"/>
  <c r="AJ15" i="18"/>
  <c r="AM15" i="18"/>
  <c r="AK15" i="18"/>
  <c r="AL15" i="18"/>
  <c r="AI15" i="18"/>
  <c r="AO26" i="18"/>
  <c r="F17" i="11" s="1"/>
  <c r="AJ26" i="18"/>
  <c r="AK26" i="18"/>
  <c r="AL26" i="18"/>
  <c r="AM26" i="18"/>
  <c r="AN26" i="18"/>
  <c r="AI26" i="18"/>
  <c r="AO27" i="18"/>
  <c r="F18" i="11" s="1"/>
  <c r="AL27" i="18"/>
  <c r="AM27" i="18"/>
  <c r="AN27" i="18"/>
  <c r="AI27" i="18"/>
  <c r="AJ27" i="18"/>
  <c r="AK27" i="18"/>
  <c r="AO29" i="18"/>
  <c r="F20" i="11" s="1"/>
  <c r="AJ29" i="18"/>
  <c r="AK29" i="18"/>
  <c r="AL29" i="18"/>
  <c r="AM29" i="18"/>
  <c r="AI29" i="18"/>
  <c r="AN29" i="18"/>
  <c r="AO28" i="18"/>
  <c r="F19" i="11" s="1"/>
  <c r="AJ28" i="18"/>
  <c r="AK28" i="18"/>
  <c r="AI28" i="18"/>
  <c r="AN28" i="18"/>
  <c r="AL28" i="18"/>
  <c r="AM28" i="18"/>
  <c r="AO30" i="18"/>
  <c r="F21" i="11" s="1"/>
  <c r="AM30" i="18"/>
  <c r="AN30" i="18"/>
  <c r="AI30" i="18"/>
  <c r="AL30" i="18"/>
  <c r="AJ30" i="18"/>
  <c r="AK30" i="18"/>
  <c r="E6" i="13"/>
  <c r="E24" i="13" s="1"/>
  <c r="C24" i="13"/>
  <c r="AO24" i="18"/>
  <c r="F15" i="11" s="1"/>
  <c r="AN24" i="18"/>
  <c r="AL24" i="18"/>
  <c r="AM24" i="18"/>
  <c r="AI24" i="18"/>
  <c r="AJ24" i="18"/>
  <c r="AK24" i="18"/>
  <c r="AO25" i="18"/>
  <c r="F16" i="11" s="1"/>
  <c r="AL25" i="18"/>
  <c r="AI25" i="18"/>
  <c r="AM25" i="18"/>
  <c r="AN25" i="18"/>
  <c r="AK25" i="18"/>
  <c r="AJ25" i="18"/>
  <c r="AO23" i="18"/>
  <c r="F14" i="11" s="1"/>
  <c r="AN23" i="18"/>
  <c r="AI23" i="18"/>
  <c r="AM23" i="18"/>
  <c r="AJ23" i="18"/>
  <c r="AL23" i="18"/>
  <c r="AK23" i="18"/>
  <c r="AO21" i="18"/>
  <c r="F13" i="11" s="1"/>
  <c r="AI21" i="18"/>
  <c r="AL21" i="18"/>
  <c r="AK21" i="18"/>
  <c r="AM21" i="18"/>
  <c r="AJ21" i="18"/>
  <c r="AN21" i="18"/>
  <c r="AO17" i="18"/>
  <c r="F9" i="11" s="1"/>
  <c r="AK17" i="18"/>
  <c r="AM17" i="18"/>
  <c r="AN17" i="18"/>
  <c r="AI17" i="18"/>
  <c r="AJ17" i="18"/>
  <c r="AL17" i="18"/>
  <c r="AO18" i="18"/>
  <c r="F10" i="11" s="1"/>
  <c r="AI18" i="18"/>
  <c r="AJ18" i="18"/>
  <c r="AK18" i="18"/>
  <c r="AL18" i="18"/>
  <c r="AM18" i="18"/>
  <c r="AN18" i="18"/>
  <c r="AO19" i="18"/>
  <c r="F11" i="11" s="1"/>
  <c r="AM19" i="18"/>
  <c r="AI19" i="18"/>
  <c r="AK19" i="18"/>
  <c r="AJ19" i="18"/>
  <c r="AL19" i="18"/>
  <c r="AN19" i="18"/>
  <c r="AO20" i="18"/>
  <c r="F12" i="11" s="1"/>
  <c r="AJ20" i="18"/>
  <c r="AK20" i="18"/>
  <c r="AL20" i="18"/>
  <c r="AM20" i="18"/>
  <c r="AN20" i="18"/>
  <c r="AI20" i="18"/>
  <c r="AO16" i="18"/>
  <c r="F8" i="11" s="1"/>
  <c r="AJ16" i="18"/>
  <c r="AK16" i="18"/>
  <c r="AL16" i="18"/>
  <c r="AM16" i="18"/>
  <c r="AN16" i="18"/>
  <c r="AI16" i="18"/>
  <c r="AO14" i="18"/>
  <c r="F6" i="11" s="1"/>
  <c r="AN14" i="18"/>
  <c r="AI14" i="18"/>
  <c r="AL14" i="18"/>
  <c r="AJ14" i="18"/>
  <c r="AK14" i="18"/>
  <c r="AM14" i="18"/>
  <c r="E10" i="13"/>
  <c r="E28" i="13" s="1"/>
  <c r="E15" i="13"/>
  <c r="E33" i="13" s="1"/>
  <c r="E12" i="13"/>
  <c r="E30" i="13" s="1"/>
  <c r="E13" i="13"/>
  <c r="E31" i="13" s="1"/>
  <c r="E11" i="13"/>
  <c r="E29" i="13" s="1"/>
  <c r="E19" i="13"/>
  <c r="E37" i="13" s="1"/>
  <c r="E16" i="13"/>
  <c r="E34" i="13" s="1"/>
  <c r="E20" i="13"/>
  <c r="E38" i="13" s="1"/>
  <c r="E18" i="13"/>
  <c r="E36" i="13" s="1"/>
  <c r="E17" i="13"/>
  <c r="E35" i="13" s="1"/>
  <c r="E14" i="13"/>
  <c r="E32" i="13" s="1"/>
  <c r="E7" i="13"/>
  <c r="E25" i="13" s="1"/>
  <c r="E21" i="13"/>
  <c r="E39" i="13" s="1"/>
  <c r="E9" i="13"/>
  <c r="E27" i="13" s="1"/>
  <c r="E8" i="13"/>
  <c r="E26" i="13" s="1"/>
  <c r="P11" i="18" l="1"/>
  <c r="R33" i="18" l="1"/>
  <c r="Q100" i="18"/>
  <c r="P350" i="18"/>
  <c r="P325" i="18"/>
  <c r="P326" i="18"/>
  <c r="O335" i="18"/>
  <c r="R330" i="18"/>
  <c r="O338" i="18"/>
  <c r="S300" i="18"/>
  <c r="O317" i="18"/>
  <c r="O308" i="18"/>
  <c r="N316" i="18"/>
  <c r="S308" i="18"/>
  <c r="N344" i="18"/>
  <c r="N354" i="18"/>
  <c r="R348" i="18"/>
  <c r="Q297" i="18"/>
  <c r="S313" i="18"/>
  <c r="R325" i="18"/>
  <c r="O303" i="18"/>
  <c r="O302" i="18"/>
  <c r="O316" i="18"/>
  <c r="P291" i="18"/>
  <c r="R223" i="18"/>
  <c r="Q243" i="18"/>
  <c r="N285" i="18"/>
  <c r="N231" i="18"/>
  <c r="P286" i="18"/>
  <c r="S261" i="18"/>
  <c r="R279" i="18"/>
  <c r="O252" i="18"/>
  <c r="P212" i="18"/>
  <c r="N260" i="18"/>
  <c r="N236" i="18"/>
  <c r="Q209" i="18"/>
  <c r="Q267" i="18"/>
  <c r="P257" i="18"/>
  <c r="S221" i="18"/>
  <c r="O290" i="18"/>
  <c r="O269" i="18"/>
  <c r="P244" i="18"/>
  <c r="N267" i="18"/>
  <c r="O232" i="18"/>
  <c r="P253" i="18"/>
  <c r="O296" i="18"/>
  <c r="S252" i="18"/>
  <c r="R225" i="18"/>
  <c r="R210" i="18"/>
  <c r="S190" i="18"/>
  <c r="Q134" i="18"/>
  <c r="R204" i="18"/>
  <c r="O168" i="18"/>
  <c r="O218" i="18"/>
  <c r="P169" i="18"/>
  <c r="O205" i="18"/>
  <c r="Q165" i="18"/>
  <c r="S170" i="18"/>
  <c r="R151" i="18"/>
  <c r="S214" i="18"/>
  <c r="O206" i="18"/>
  <c r="N159" i="18"/>
  <c r="P191" i="18"/>
  <c r="S181" i="18"/>
  <c r="N264" i="18"/>
  <c r="R179" i="18"/>
  <c r="N154" i="18"/>
  <c r="R176" i="18"/>
  <c r="Q153" i="18"/>
  <c r="Q168" i="18"/>
  <c r="N140" i="18"/>
  <c r="O93" i="18"/>
  <c r="S134" i="18"/>
  <c r="N183" i="18"/>
  <c r="Q117" i="18"/>
  <c r="P167" i="18"/>
  <c r="O134" i="18"/>
  <c r="Q118" i="18"/>
  <c r="N134" i="18"/>
  <c r="N116" i="18"/>
  <c r="N131" i="18"/>
  <c r="S113" i="18"/>
  <c r="O145" i="18"/>
  <c r="P127" i="18"/>
  <c r="R39" i="18"/>
  <c r="Q23" i="18"/>
  <c r="O347" i="18"/>
  <c r="R350" i="18"/>
  <c r="S311" i="18"/>
  <c r="P330" i="18"/>
  <c r="N335" i="18"/>
  <c r="O336" i="18"/>
  <c r="N348" i="18"/>
  <c r="N307" i="18"/>
  <c r="P348" i="18"/>
  <c r="O314" i="18"/>
  <c r="O309" i="18"/>
  <c r="Q322" i="18"/>
  <c r="R324" i="18"/>
  <c r="R327" i="18"/>
  <c r="Q348" i="18"/>
  <c r="Q305" i="18"/>
  <c r="N324" i="18"/>
  <c r="R294" i="18"/>
  <c r="S340" i="18"/>
  <c r="O315" i="18"/>
  <c r="P288" i="18"/>
  <c r="R212" i="18"/>
  <c r="S234" i="18"/>
  <c r="S282" i="18"/>
  <c r="Q219" i="18"/>
  <c r="Q278" i="18"/>
  <c r="S258" i="18"/>
  <c r="N277" i="18"/>
  <c r="Q241" i="18"/>
  <c r="S203" i="18"/>
  <c r="P258" i="18"/>
  <c r="P234" i="18"/>
  <c r="N210" i="18"/>
  <c r="S266" i="18"/>
  <c r="Q251" i="18"/>
  <c r="O223" i="18"/>
  <c r="N289" i="18"/>
  <c r="O267" i="18"/>
  <c r="P243" i="18"/>
  <c r="P264" i="18"/>
  <c r="S295" i="18"/>
  <c r="Q245" i="18"/>
  <c r="S279" i="18"/>
  <c r="N253" i="18"/>
  <c r="N228" i="18"/>
  <c r="S208" i="18"/>
  <c r="S187" i="18"/>
  <c r="S242" i="18"/>
  <c r="S201" i="18"/>
  <c r="R156" i="18"/>
  <c r="N216" i="18"/>
  <c r="P158" i="18"/>
  <c r="R194" i="18"/>
  <c r="S149" i="18"/>
  <c r="S169" i="18"/>
  <c r="O149" i="18"/>
  <c r="P206" i="18"/>
  <c r="Q200" i="18"/>
  <c r="R255" i="18"/>
  <c r="O209" i="18"/>
  <c r="O242" i="18"/>
  <c r="O228" i="18"/>
  <c r="R178" i="18"/>
  <c r="O152" i="18"/>
  <c r="N176" i="18"/>
  <c r="S151" i="18"/>
  <c r="N169" i="18"/>
  <c r="Q137" i="18"/>
  <c r="P180" i="18"/>
  <c r="S133" i="18"/>
  <c r="N180" i="18"/>
  <c r="S108" i="18"/>
  <c r="S165" i="18"/>
  <c r="O132" i="18"/>
  <c r="R115" i="18"/>
  <c r="R122" i="18"/>
  <c r="N14" i="18"/>
  <c r="Q14" i="18"/>
  <c r="P74" i="18"/>
  <c r="Q17" i="18"/>
  <c r="Q335" i="18"/>
  <c r="N338" i="18"/>
  <c r="O345" i="18"/>
  <c r="S341" i="18"/>
  <c r="P351" i="18"/>
  <c r="S339" i="18"/>
  <c r="P336" i="18"/>
  <c r="S327" i="18"/>
  <c r="Q334" i="18"/>
  <c r="N315" i="18"/>
  <c r="R291" i="18"/>
  <c r="O299" i="18"/>
  <c r="R297" i="18"/>
  <c r="S305" i="18"/>
  <c r="O320" i="18"/>
  <c r="P303" i="18"/>
  <c r="Q315" i="18"/>
  <c r="P318" i="18"/>
  <c r="P327" i="18"/>
  <c r="S298" i="18"/>
  <c r="Q264" i="18"/>
  <c r="P278" i="18"/>
  <c r="R290" i="18"/>
  <c r="O266" i="18"/>
  <c r="Q287" i="18"/>
  <c r="Q271" i="18"/>
  <c r="R226" i="18"/>
  <c r="N263" i="18"/>
  <c r="Q225" i="18"/>
  <c r="R278" i="18"/>
  <c r="R239" i="18"/>
  <c r="P223" i="18"/>
  <c r="P280" i="18"/>
  <c r="Q259" i="18"/>
  <c r="R235" i="18"/>
  <c r="N217" i="18"/>
  <c r="R272" i="18"/>
  <c r="R246" i="18"/>
  <c r="Q272" i="18"/>
  <c r="O243" i="18"/>
  <c r="S263" i="18"/>
  <c r="N232" i="18"/>
  <c r="O263" i="18"/>
  <c r="O240" i="18"/>
  <c r="O203" i="18"/>
  <c r="P203" i="18"/>
  <c r="N167" i="18"/>
  <c r="Q210" i="18"/>
  <c r="N189" i="18"/>
  <c r="O253" i="18"/>
  <c r="O201" i="18"/>
  <c r="N222" i="18"/>
  <c r="O181" i="18"/>
  <c r="N194" i="18"/>
  <c r="S158" i="18"/>
  <c r="Q132" i="18"/>
  <c r="O197" i="18"/>
  <c r="Q169" i="18"/>
  <c r="P209" i="18"/>
  <c r="O191" i="18"/>
  <c r="N190" i="18"/>
  <c r="N218" i="18"/>
  <c r="N164" i="18"/>
  <c r="O194" i="18"/>
  <c r="Q164" i="18"/>
  <c r="N143" i="18"/>
  <c r="R140" i="18"/>
  <c r="P124" i="18"/>
  <c r="R147" i="18"/>
  <c r="R107" i="18"/>
  <c r="Q147" i="18"/>
  <c r="O158" i="18"/>
  <c r="R143" i="18"/>
  <c r="N127" i="18"/>
  <c r="P165" i="18"/>
  <c r="Q115" i="18"/>
  <c r="N53" i="18"/>
  <c r="R340" i="18"/>
  <c r="N336" i="18"/>
  <c r="S349" i="18"/>
  <c r="Q338" i="18"/>
  <c r="S338" i="18"/>
  <c r="P340" i="18"/>
  <c r="N313" i="18"/>
  <c r="N309" i="18"/>
  <c r="Q277" i="18"/>
  <c r="O321" i="18"/>
  <c r="P323" i="18"/>
  <c r="P316" i="18"/>
  <c r="N302" i="18"/>
  <c r="R233" i="18"/>
  <c r="O293" i="18"/>
  <c r="N295" i="18"/>
  <c r="Q268" i="18"/>
  <c r="Q262" i="18"/>
  <c r="N215" i="18"/>
  <c r="O250" i="18"/>
  <c r="N199" i="18"/>
  <c r="S257" i="18"/>
  <c r="S213" i="18"/>
  <c r="N271" i="18"/>
  <c r="P300" i="18"/>
  <c r="N282" i="18"/>
  <c r="P230" i="18"/>
  <c r="R241" i="18"/>
  <c r="P213" i="18"/>
  <c r="O178" i="18"/>
  <c r="P201" i="18"/>
  <c r="Q221" i="18"/>
  <c r="S136" i="18"/>
  <c r="P171" i="18"/>
  <c r="S159" i="18"/>
  <c r="R200" i="18"/>
  <c r="O169" i="18"/>
  <c r="R186" i="18"/>
  <c r="N186" i="18"/>
  <c r="R164" i="18"/>
  <c r="S173" i="18"/>
  <c r="S179" i="18"/>
  <c r="P135" i="18"/>
  <c r="Q136" i="18"/>
  <c r="S154" i="18"/>
  <c r="S164" i="18"/>
  <c r="O125" i="18"/>
  <c r="P123" i="18"/>
  <c r="P155" i="18"/>
  <c r="Q119" i="18"/>
  <c r="O155" i="18"/>
  <c r="Q105" i="18"/>
  <c r="Q77" i="18"/>
  <c r="N61" i="18"/>
  <c r="Q32" i="18"/>
  <c r="O53" i="18"/>
  <c r="P113" i="18"/>
  <c r="Q75" i="18"/>
  <c r="N51" i="18"/>
  <c r="S26" i="18"/>
  <c r="N110" i="18"/>
  <c r="O84" i="18"/>
  <c r="Q43" i="18"/>
  <c r="P110" i="18"/>
  <c r="P86" i="18"/>
  <c r="Q62" i="18"/>
  <c r="O41" i="18"/>
  <c r="N17" i="18"/>
  <c r="P107" i="18"/>
  <c r="P89" i="18"/>
  <c r="Q65" i="18"/>
  <c r="R88" i="18"/>
  <c r="N72" i="18"/>
  <c r="O95" i="18"/>
  <c r="O74" i="18"/>
  <c r="R44" i="18"/>
  <c r="Q15" i="18"/>
  <c r="O29" i="18"/>
  <c r="O52" i="18"/>
  <c r="N21" i="18"/>
  <c r="N54" i="18"/>
  <c r="N152" i="18"/>
  <c r="S47" i="18"/>
  <c r="P108" i="18"/>
  <c r="O129" i="18"/>
  <c r="P43" i="18"/>
  <c r="O118" i="18"/>
  <c r="N33" i="18"/>
  <c r="P65" i="18"/>
  <c r="N59" i="18"/>
  <c r="R16" i="18"/>
  <c r="Q52" i="18"/>
  <c r="N35" i="18"/>
  <c r="N44" i="18"/>
  <c r="R89" i="18"/>
  <c r="S114" i="18"/>
  <c r="Q66" i="18"/>
  <c r="R110" i="18"/>
  <c r="O156" i="18"/>
  <c r="S92" i="18"/>
  <c r="N117" i="18"/>
  <c r="S63" i="18"/>
  <c r="R37" i="18"/>
  <c r="Q84" i="18"/>
  <c r="P345" i="18"/>
  <c r="P335" i="18"/>
  <c r="N349" i="18"/>
  <c r="R326" i="18"/>
  <c r="N333" i="18"/>
  <c r="P339" i="18"/>
  <c r="P312" i="18"/>
  <c r="Q298" i="18"/>
  <c r="Q324" i="18"/>
  <c r="S317" i="18"/>
  <c r="N320" i="18"/>
  <c r="Q302" i="18"/>
  <c r="S299" i="18"/>
  <c r="P293" i="18"/>
  <c r="R287" i="18"/>
  <c r="Q290" i="18"/>
  <c r="P268" i="18"/>
  <c r="S260" i="18"/>
  <c r="P204" i="18"/>
  <c r="S236" i="18"/>
  <c r="P290" i="18"/>
  <c r="O258" i="18"/>
  <c r="O219" i="18"/>
  <c r="R257" i="18"/>
  <c r="S271" i="18"/>
  <c r="N266" i="18"/>
  <c r="R228" i="18"/>
  <c r="N242" i="18"/>
  <c r="S206" i="18"/>
  <c r="Q155" i="18"/>
  <c r="O195" i="18"/>
  <c r="S212" i="18"/>
  <c r="Q244" i="18"/>
  <c r="Q197" i="18"/>
  <c r="N161" i="18"/>
  <c r="Q199" i="18"/>
  <c r="Q158" i="18"/>
  <c r="S185" i="18"/>
  <c r="R218" i="18"/>
  <c r="O162" i="18"/>
  <c r="N172" i="18"/>
  <c r="O177" i="18"/>
  <c r="R123" i="18"/>
  <c r="N133" i="18"/>
  <c r="R146" i="18"/>
  <c r="N158" i="18"/>
  <c r="S119" i="18"/>
  <c r="R119" i="18"/>
  <c r="P145" i="18"/>
  <c r="S116" i="18"/>
  <c r="P144" i="18"/>
  <c r="N105" i="18"/>
  <c r="P79" i="18"/>
  <c r="S53" i="18"/>
  <c r="P34" i="18"/>
  <c r="O39" i="18"/>
  <c r="Q104" i="18"/>
  <c r="S68" i="18"/>
  <c r="S43" i="18"/>
  <c r="O28" i="18"/>
  <c r="R99" i="18"/>
  <c r="P77" i="18"/>
  <c r="O44" i="18"/>
  <c r="Q101" i="18"/>
  <c r="R79" i="18"/>
  <c r="N64" i="18"/>
  <c r="R34" i="18"/>
  <c r="R52" i="18"/>
  <c r="Q99" i="18"/>
  <c r="N86" i="18"/>
  <c r="O63" i="18"/>
  <c r="P88" i="18"/>
  <c r="S64" i="18"/>
  <c r="R87" i="18"/>
  <c r="P68" i="18"/>
  <c r="P42" i="18"/>
  <c r="S14" i="18"/>
  <c r="R23" i="18"/>
  <c r="Q51" i="18"/>
  <c r="P29" i="18"/>
  <c r="R55" i="18"/>
  <c r="N26" i="18"/>
  <c r="P50" i="18"/>
  <c r="S105" i="18"/>
  <c r="S336" i="18"/>
  <c r="P14" i="18"/>
  <c r="N27" i="18"/>
  <c r="Q325" i="18"/>
  <c r="Q344" i="18"/>
  <c r="O329" i="18"/>
  <c r="N323" i="18"/>
  <c r="R338" i="18"/>
  <c r="S321" i="18"/>
  <c r="N297" i="18"/>
  <c r="Q308" i="18"/>
  <c r="O306" i="18"/>
  <c r="S302" i="18"/>
  <c r="R302" i="18"/>
  <c r="O334" i="18"/>
  <c r="O286" i="18"/>
  <c r="S269" i="18"/>
  <c r="R269" i="18"/>
  <c r="O287" i="18"/>
  <c r="Q232" i="18"/>
  <c r="S239" i="18"/>
  <c r="S268" i="18"/>
  <c r="Q224" i="18"/>
  <c r="R268" i="18"/>
  <c r="S246" i="18"/>
  <c r="P287" i="18"/>
  <c r="S245" i="18"/>
  <c r="Q248" i="18"/>
  <c r="P254" i="18"/>
  <c r="Q263" i="18"/>
  <c r="P226" i="18"/>
  <c r="Q194" i="18"/>
  <c r="P218" i="18"/>
  <c r="P179" i="18"/>
  <c r="S200" i="18"/>
  <c r="R191" i="18"/>
  <c r="O183" i="18"/>
  <c r="S140" i="18"/>
  <c r="O208" i="18"/>
  <c r="Q212" i="18"/>
  <c r="S218" i="18"/>
  <c r="N188" i="18"/>
  <c r="S197" i="18"/>
  <c r="N162" i="18"/>
  <c r="S147" i="18"/>
  <c r="N179" i="18"/>
  <c r="R97" i="18"/>
  <c r="S87" i="18"/>
  <c r="P137" i="18"/>
  <c r="R165" i="18"/>
  <c r="N113" i="18"/>
  <c r="S125" i="18"/>
  <c r="P177" i="18"/>
  <c r="P118" i="18"/>
  <c r="N95" i="18"/>
  <c r="N74" i="18"/>
  <c r="Q44" i="18"/>
  <c r="P28" i="18"/>
  <c r="Q146" i="18"/>
  <c r="P92" i="18"/>
  <c r="Q63" i="18"/>
  <c r="S34" i="18"/>
  <c r="N16" i="18"/>
  <c r="Q91" i="18"/>
  <c r="P99" i="18"/>
  <c r="Q350" i="18"/>
  <c r="S350" i="18"/>
  <c r="Q339" i="18"/>
  <c r="S326" i="18"/>
  <c r="N308" i="18"/>
  <c r="R315" i="18"/>
  <c r="S351" i="18"/>
  <c r="S291" i="18"/>
  <c r="O295" i="18"/>
  <c r="S276" i="18"/>
  <c r="O261" i="18"/>
  <c r="Q252" i="18"/>
  <c r="Q269" i="18"/>
  <c r="P222" i="18"/>
  <c r="O246" i="18"/>
  <c r="S264" i="18"/>
  <c r="S253" i="18"/>
  <c r="N205" i="18"/>
  <c r="Q206" i="18"/>
  <c r="Q190" i="18"/>
  <c r="S195" i="18"/>
  <c r="Q228" i="18"/>
  <c r="R215" i="18"/>
  <c r="O188" i="18"/>
  <c r="N201" i="18"/>
  <c r="P156" i="18"/>
  <c r="O154" i="18"/>
  <c r="S98" i="18"/>
  <c r="N129" i="18"/>
  <c r="O173" i="18"/>
  <c r="O117" i="18"/>
  <c r="N92" i="18"/>
  <c r="S69" i="18"/>
  <c r="S35" i="18"/>
  <c r="P134" i="18"/>
  <c r="P73" i="18"/>
  <c r="Q28" i="18"/>
  <c r="P100" i="18"/>
  <c r="S55" i="18"/>
  <c r="S99" i="18"/>
  <c r="S74" i="18"/>
  <c r="R43" i="18"/>
  <c r="P32" i="18"/>
  <c r="P96" i="18"/>
  <c r="P75" i="18"/>
  <c r="R84" i="18"/>
  <c r="Q133" i="18"/>
  <c r="S75" i="18"/>
  <c r="Q38" i="18"/>
  <c r="P20" i="18"/>
  <c r="R42" i="18"/>
  <c r="N32" i="18"/>
  <c r="Q92" i="18"/>
  <c r="N45" i="18"/>
  <c r="S90" i="18"/>
  <c r="P23" i="18"/>
  <c r="Q73" i="18"/>
  <c r="O24" i="18"/>
  <c r="R56" i="18"/>
  <c r="R48" i="18"/>
  <c r="S20" i="18"/>
  <c r="O101" i="18"/>
  <c r="Q18" i="18"/>
  <c r="Q59" i="18"/>
  <c r="N101" i="18"/>
  <c r="R61" i="18"/>
  <c r="O111" i="18"/>
  <c r="S60" i="18"/>
  <c r="S101" i="18"/>
  <c r="P143" i="18"/>
  <c r="O35" i="18"/>
  <c r="O55" i="18"/>
  <c r="N70" i="18"/>
  <c r="R82" i="18"/>
  <c r="Q107" i="18"/>
  <c r="O46" i="18"/>
  <c r="R69" i="18"/>
  <c r="P93" i="18"/>
  <c r="O21" i="18"/>
  <c r="P36" i="18"/>
  <c r="O57" i="18"/>
  <c r="S70" i="18"/>
  <c r="S83" i="18"/>
  <c r="Q129" i="18"/>
  <c r="O104" i="18"/>
  <c r="S41" i="18"/>
  <c r="P70" i="18"/>
  <c r="N97" i="18"/>
  <c r="O126" i="18"/>
  <c r="R128" i="18"/>
  <c r="Q173" i="18"/>
  <c r="R132" i="18"/>
  <c r="R114" i="18"/>
  <c r="R153" i="18"/>
  <c r="N153" i="18"/>
  <c r="R152" i="18"/>
  <c r="P126" i="18"/>
  <c r="P147" i="18"/>
  <c r="S138" i="18"/>
  <c r="Q182" i="18"/>
  <c r="N150" i="18"/>
  <c r="R155" i="18"/>
  <c r="P200" i="18"/>
  <c r="N196" i="18"/>
  <c r="P217" i="18"/>
  <c r="S248" i="18"/>
  <c r="S171" i="18"/>
  <c r="O214" i="18"/>
  <c r="R213" i="18"/>
  <c r="Q156" i="18"/>
  <c r="P187" i="18"/>
  <c r="Q258" i="18"/>
  <c r="P186" i="18"/>
  <c r="O224" i="18"/>
  <c r="O196" i="18"/>
  <c r="O284" i="18"/>
  <c r="Q192" i="18"/>
  <c r="S219" i="18"/>
  <c r="O186" i="18"/>
  <c r="O207" i="18"/>
  <c r="S286" i="18"/>
  <c r="N245" i="18"/>
  <c r="O272" i="18"/>
  <c r="S284" i="18"/>
  <c r="O248" i="18"/>
  <c r="P270" i="18"/>
  <c r="N237" i="18"/>
  <c r="N262" i="18"/>
  <c r="Q230" i="18"/>
  <c r="Q254" i="18"/>
  <c r="S198" i="18"/>
  <c r="S241" i="18"/>
  <c r="R187" i="18"/>
  <c r="S230" i="18"/>
  <c r="P285" i="18"/>
  <c r="Q218" i="18"/>
  <c r="O254" i="18"/>
  <c r="N225" i="18"/>
  <c r="Q280" i="18"/>
  <c r="P237" i="18"/>
  <c r="N300" i="18"/>
  <c r="S278" i="18"/>
  <c r="O271" i="18"/>
  <c r="S294" i="18"/>
  <c r="S316" i="18"/>
  <c r="P304" i="18"/>
  <c r="S296" i="18"/>
  <c r="Q332" i="18"/>
  <c r="S347" i="18"/>
  <c r="Q354" i="18"/>
  <c r="Q311" i="18"/>
  <c r="P302" i="18"/>
  <c r="P343" i="18"/>
  <c r="Q303" i="18"/>
  <c r="Q294" i="18"/>
  <c r="R331" i="18"/>
  <c r="R332" i="18"/>
  <c r="O330" i="18"/>
  <c r="O318" i="18"/>
  <c r="P344" i="18"/>
  <c r="O351" i="18"/>
  <c r="O352" i="18"/>
  <c r="N341" i="18"/>
  <c r="O343" i="18"/>
  <c r="S318" i="18"/>
  <c r="P342" i="18"/>
  <c r="P284" i="18"/>
  <c r="N325" i="18"/>
  <c r="P317" i="18"/>
  <c r="S32" i="18"/>
  <c r="Q57" i="18"/>
  <c r="O349" i="18"/>
  <c r="R345" i="18"/>
  <c r="R335" i="18"/>
  <c r="R298" i="18"/>
  <c r="P306" i="18"/>
  <c r="S303" i="18"/>
  <c r="Q312" i="18"/>
  <c r="Q275" i="18"/>
  <c r="R285" i="18"/>
  <c r="R275" i="18"/>
  <c r="R252" i="18"/>
  <c r="N252" i="18"/>
  <c r="P273" i="18"/>
  <c r="Q203" i="18"/>
  <c r="Q235" i="18"/>
  <c r="O264" i="18"/>
  <c r="R242" i="18"/>
  <c r="P195" i="18"/>
  <c r="R190" i="18"/>
  <c r="P190" i="18"/>
  <c r="S194" i="18"/>
  <c r="O222" i="18"/>
  <c r="N208" i="18"/>
  <c r="R217" i="18"/>
  <c r="S191" i="18"/>
  <c r="N155" i="18"/>
  <c r="N144" i="18"/>
  <c r="R181" i="18"/>
  <c r="P120" i="18"/>
  <c r="R158" i="18"/>
  <c r="S183" i="18"/>
  <c r="S143" i="18"/>
  <c r="S66" i="18"/>
  <c r="R28" i="18"/>
  <c r="N122" i="18"/>
  <c r="R66" i="18"/>
  <c r="Q27" i="18"/>
  <c r="O91" i="18"/>
  <c r="S46" i="18"/>
  <c r="O102" i="18"/>
  <c r="R68" i="18"/>
  <c r="P44" i="18"/>
  <c r="Q19" i="18"/>
  <c r="Q90" i="18"/>
  <c r="O72" i="18"/>
  <c r="Q78" i="18"/>
  <c r="R105" i="18"/>
  <c r="Q72" i="18"/>
  <c r="R32" i="18"/>
  <c r="O17" i="18"/>
  <c r="Q47" i="18"/>
  <c r="N34" i="18"/>
  <c r="Q108" i="18"/>
  <c r="R45" i="18"/>
  <c r="P98" i="18"/>
  <c r="P24" i="18"/>
  <c r="Q88" i="18"/>
  <c r="O26" i="18"/>
  <c r="N60" i="18"/>
  <c r="Q60" i="18"/>
  <c r="R24" i="18"/>
  <c r="P109" i="18"/>
  <c r="S21" i="18"/>
  <c r="P72" i="18"/>
  <c r="O108" i="18"/>
  <c r="R62" i="18"/>
  <c r="R111" i="18"/>
  <c r="S61" i="18"/>
  <c r="N104" i="18"/>
  <c r="S141" i="18"/>
  <c r="O36" i="18"/>
  <c r="N56" i="18"/>
  <c r="R70" i="18"/>
  <c r="R83" i="18"/>
  <c r="Q120" i="18"/>
  <c r="O48" i="18"/>
  <c r="Q70" i="18"/>
  <c r="O105" i="18"/>
  <c r="S16" i="18"/>
  <c r="P37" i="18"/>
  <c r="Q50" i="18"/>
  <c r="S71" i="18"/>
  <c r="R96" i="18"/>
  <c r="O133" i="18"/>
  <c r="N18" i="18"/>
  <c r="P56" i="18"/>
  <c r="P71" i="18"/>
  <c r="N98" i="18"/>
  <c r="S124" i="18"/>
  <c r="Q145" i="18"/>
  <c r="S174" i="18"/>
  <c r="R142" i="18"/>
  <c r="R129" i="18"/>
  <c r="O161" i="18"/>
  <c r="R149" i="18"/>
  <c r="N160" i="18"/>
  <c r="P128" i="18"/>
  <c r="S152" i="18"/>
  <c r="P146" i="18"/>
  <c r="S91" i="18"/>
  <c r="P151" i="18"/>
  <c r="N168" i="18"/>
  <c r="N156" i="18"/>
  <c r="R209" i="18"/>
  <c r="N258" i="18"/>
  <c r="P160" i="18"/>
  <c r="R174" i="18"/>
  <c r="P224" i="18"/>
  <c r="O268" i="18"/>
  <c r="P163" i="18"/>
  <c r="N191" i="18"/>
  <c r="P272" i="18"/>
  <c r="S189" i="18"/>
  <c r="S233" i="18"/>
  <c r="Q195" i="18"/>
  <c r="O138" i="18"/>
  <c r="P196" i="18"/>
  <c r="P225" i="18"/>
  <c r="Q186" i="18"/>
  <c r="N209" i="18"/>
  <c r="S290" i="18"/>
  <c r="Q246" i="18"/>
  <c r="Q270" i="18"/>
  <c r="R286" i="18"/>
  <c r="N250" i="18"/>
  <c r="R266" i="18"/>
  <c r="R237" i="18"/>
  <c r="S259" i="18"/>
  <c r="S237" i="18"/>
  <c r="P259" i="18"/>
  <c r="N206" i="18"/>
  <c r="R253" i="18"/>
  <c r="O213" i="18"/>
  <c r="P241" i="18"/>
  <c r="P294" i="18"/>
  <c r="P221" i="18"/>
  <c r="O255" i="18"/>
  <c r="S228" i="18"/>
  <c r="Q281" i="18"/>
  <c r="Q239" i="18"/>
  <c r="O226" i="18"/>
  <c r="O288" i="18"/>
  <c r="N281" i="18"/>
  <c r="Q296" i="18"/>
  <c r="P305" i="18"/>
  <c r="S297" i="18"/>
  <c r="Q299" i="18"/>
  <c r="Q336" i="18"/>
  <c r="Q46" i="18"/>
  <c r="R349" i="18"/>
  <c r="S331" i="18"/>
  <c r="Q349" i="18"/>
  <c r="S324" i="18"/>
  <c r="P299" i="18"/>
  <c r="N299" i="18"/>
  <c r="N305" i="18"/>
  <c r="N343" i="18"/>
  <c r="Q266" i="18"/>
  <c r="P277" i="18"/>
  <c r="N276" i="18"/>
  <c r="N239" i="18"/>
  <c r="S235" i="18"/>
  <c r="P269" i="18"/>
  <c r="O200" i="18"/>
  <c r="N233" i="18"/>
  <c r="N243" i="18"/>
  <c r="P239" i="18"/>
  <c r="O189" i="18"/>
  <c r="R180" i="18"/>
  <c r="S146" i="18"/>
  <c r="R172" i="18"/>
  <c r="P198" i="18"/>
  <c r="S186" i="18"/>
  <c r="Q213" i="18"/>
  <c r="Q178" i="18"/>
  <c r="O144" i="18"/>
  <c r="Q123" i="18"/>
  <c r="R154" i="18"/>
  <c r="O116" i="18"/>
  <c r="O165" i="18"/>
  <c r="P176" i="18"/>
  <c r="R102" i="18"/>
  <c r="R63" i="18"/>
  <c r="R27" i="18"/>
  <c r="R118" i="18"/>
  <c r="O64" i="18"/>
  <c r="P27" i="18"/>
  <c r="O86" i="18"/>
  <c r="N41" i="18"/>
  <c r="Q93" i="18"/>
  <c r="O73" i="18"/>
  <c r="P39" i="18"/>
  <c r="S144" i="18"/>
  <c r="S88" i="18"/>
  <c r="P116" i="18"/>
  <c r="O83" i="18"/>
  <c r="N106" i="18"/>
  <c r="Q64" i="18"/>
  <c r="N37" i="18"/>
  <c r="S15" i="18"/>
  <c r="R57" i="18"/>
  <c r="N38" i="18"/>
  <c r="Q113" i="18"/>
  <c r="R54" i="18"/>
  <c r="S95" i="18"/>
  <c r="Q26" i="18"/>
  <c r="O14" i="18"/>
  <c r="P349" i="18"/>
  <c r="R318" i="18"/>
  <c r="R299" i="18"/>
  <c r="O305" i="18"/>
  <c r="S329" i="18"/>
  <c r="R254" i="18"/>
  <c r="R236" i="18"/>
  <c r="R260" i="18"/>
  <c r="N249" i="18"/>
  <c r="N273" i="18"/>
  <c r="P276" i="18"/>
  <c r="Q144" i="18"/>
  <c r="R201" i="18"/>
  <c r="P159" i="18"/>
  <c r="R189" i="18"/>
  <c r="Q154" i="18"/>
  <c r="R136" i="18"/>
  <c r="R133" i="18"/>
  <c r="N125" i="18"/>
  <c r="R168" i="18"/>
  <c r="S80" i="18"/>
  <c r="P15" i="18"/>
  <c r="P78" i="18"/>
  <c r="N115" i="18"/>
  <c r="S33" i="18"/>
  <c r="P84" i="18"/>
  <c r="N28" i="18"/>
  <c r="P97" i="18"/>
  <c r="P106" i="18"/>
  <c r="R95" i="18"/>
  <c r="P55" i="18"/>
  <c r="N39" i="18"/>
  <c r="P17" i="18"/>
  <c r="O32" i="18"/>
  <c r="O106" i="18"/>
  <c r="S52" i="18"/>
  <c r="R29" i="18"/>
  <c r="O19" i="18"/>
  <c r="N15" i="18"/>
  <c r="Q110" i="18"/>
  <c r="Q29" i="18"/>
  <c r="O98" i="18"/>
  <c r="N93" i="18"/>
  <c r="R113" i="18"/>
  <c r="Q86" i="18"/>
  <c r="P26" i="18"/>
  <c r="R38" i="18"/>
  <c r="O68" i="18"/>
  <c r="N88" i="18"/>
  <c r="O34" i="18"/>
  <c r="N65" i="18"/>
  <c r="S104" i="18"/>
  <c r="N30" i="18"/>
  <c r="Q45" i="18"/>
  <c r="S72" i="18"/>
  <c r="O119" i="18"/>
  <c r="S57" i="18"/>
  <c r="P57" i="18"/>
  <c r="S84" i="18"/>
  <c r="S117" i="18"/>
  <c r="O150" i="18"/>
  <c r="O122" i="18"/>
  <c r="Q163" i="18"/>
  <c r="N126" i="18"/>
  <c r="Q159" i="18"/>
  <c r="O100" i="18"/>
  <c r="O160" i="18"/>
  <c r="Q174" i="18"/>
  <c r="P131" i="18"/>
  <c r="P174" i="18"/>
  <c r="S167" i="18"/>
  <c r="S209" i="18"/>
  <c r="P161" i="18"/>
  <c r="N187" i="18"/>
  <c r="Q207" i="18"/>
  <c r="P164" i="18"/>
  <c r="P210" i="18"/>
  <c r="P183" i="18"/>
  <c r="P246" i="18"/>
  <c r="Q217" i="18"/>
  <c r="R185" i="18"/>
  <c r="P141" i="18"/>
  <c r="P197" i="18"/>
  <c r="P249" i="18"/>
  <c r="P255" i="18"/>
  <c r="P282" i="18"/>
  <c r="Q237" i="18"/>
  <c r="N278" i="18"/>
  <c r="O251" i="18"/>
  <c r="P235" i="18"/>
  <c r="O262" i="18"/>
  <c r="Q227" i="18"/>
  <c r="O285" i="18"/>
  <c r="P242" i="18"/>
  <c r="R206" i="18"/>
  <c r="S243" i="18"/>
  <c r="O239" i="18"/>
  <c r="Q286" i="18"/>
  <c r="R277" i="18"/>
  <c r="O289" i="18"/>
  <c r="S275" i="18"/>
  <c r="Q306" i="18"/>
  <c r="S304" i="18"/>
  <c r="Q309" i="18"/>
  <c r="N314" i="18"/>
  <c r="Q289" i="18"/>
  <c r="N280" i="18"/>
  <c r="Q318" i="18"/>
  <c r="N304" i="18"/>
  <c r="N311" i="18"/>
  <c r="Q351" i="18"/>
  <c r="Q341" i="18"/>
  <c r="R341" i="18"/>
  <c r="R323" i="18"/>
  <c r="N339" i="18"/>
  <c r="N340" i="18"/>
  <c r="N342" i="18"/>
  <c r="R343" i="18"/>
  <c r="R306" i="18"/>
  <c r="P297" i="18"/>
  <c r="P334" i="18"/>
  <c r="Q304" i="18"/>
  <c r="P324" i="18"/>
  <c r="Q291" i="18"/>
  <c r="S344" i="18"/>
  <c r="O332" i="18"/>
  <c r="S345" i="18"/>
  <c r="O353" i="18"/>
  <c r="R344" i="18"/>
  <c r="Q42" i="18"/>
  <c r="Q345" i="18"/>
  <c r="N347" i="18"/>
  <c r="S288" i="18"/>
  <c r="O324" i="18"/>
  <c r="O326" i="18"/>
  <c r="S224" i="18"/>
  <c r="Q222" i="18"/>
  <c r="P233" i="18"/>
  <c r="O233" i="18"/>
  <c r="N257" i="18"/>
  <c r="Q255" i="18"/>
  <c r="R221" i="18"/>
  <c r="N221" i="18"/>
  <c r="Q142" i="18"/>
  <c r="O190" i="18"/>
  <c r="S225" i="18"/>
  <c r="Q106" i="18"/>
  <c r="P181" i="18"/>
  <c r="O120" i="18"/>
  <c r="N165" i="18"/>
  <c r="R75" i="18"/>
  <c r="R65" i="18"/>
  <c r="R53" i="18"/>
  <c r="R109" i="18"/>
  <c r="N29" i="18"/>
  <c r="O78" i="18"/>
  <c r="O27" i="18"/>
  <c r="N91" i="18"/>
  <c r="R98" i="18"/>
  <c r="P87" i="18"/>
  <c r="N52" i="18"/>
  <c r="Q34" i="18"/>
  <c r="R47" i="18"/>
  <c r="O38" i="18"/>
  <c r="N114" i="18"/>
  <c r="O62" i="18"/>
  <c r="O43" i="18"/>
  <c r="Q24" i="18"/>
  <c r="P19" i="18"/>
  <c r="R116" i="18"/>
  <c r="S42" i="18"/>
  <c r="N100" i="18"/>
  <c r="R92" i="18"/>
  <c r="S123" i="18"/>
  <c r="S93" i="18"/>
  <c r="Q36" i="18"/>
  <c r="P46" i="18"/>
  <c r="N69" i="18"/>
  <c r="S86" i="18"/>
  <c r="N36" i="18"/>
  <c r="N68" i="18"/>
  <c r="S118" i="18"/>
  <c r="S25" i="18"/>
  <c r="O56" i="18"/>
  <c r="P80" i="18"/>
  <c r="Q114" i="18"/>
  <c r="Q81" i="18"/>
  <c r="R50" i="18"/>
  <c r="N89" i="18"/>
  <c r="N123" i="18"/>
  <c r="R150" i="18"/>
  <c r="P129" i="18"/>
  <c r="R170" i="18"/>
  <c r="S129" i="18"/>
  <c r="Q162" i="18"/>
  <c r="P114" i="18"/>
  <c r="Q171" i="18"/>
  <c r="P182" i="18"/>
  <c r="N132" i="18"/>
  <c r="R167" i="18"/>
  <c r="S168" i="18"/>
  <c r="N212" i="18"/>
  <c r="N163" i="18"/>
  <c r="P194" i="18"/>
  <c r="P214" i="18"/>
  <c r="O174" i="18"/>
  <c r="R207" i="18"/>
  <c r="R183" i="18"/>
  <c r="O279" i="18"/>
  <c r="R219" i="18"/>
  <c r="R188" i="18"/>
  <c r="P162" i="18"/>
  <c r="S196" i="18"/>
  <c r="Q250" i="18"/>
  <c r="R248" i="18"/>
  <c r="S281" i="18"/>
  <c r="P245" i="18"/>
  <c r="R280" i="18"/>
  <c r="S251" i="18"/>
  <c r="O237" i="18"/>
  <c r="R261" i="18"/>
  <c r="R230" i="18"/>
  <c r="O294" i="18"/>
  <c r="R243" i="18"/>
  <c r="R208" i="18"/>
  <c r="S244" i="18"/>
  <c r="O249" i="18"/>
  <c r="Q288" i="18"/>
  <c r="N288" i="18"/>
  <c r="O297" i="18"/>
  <c r="N296" i="18"/>
  <c r="S314" i="18"/>
  <c r="Q321" i="18"/>
  <c r="Q320" i="18"/>
  <c r="N290" i="18"/>
  <c r="N303" i="18"/>
  <c r="N23" i="18"/>
  <c r="R15" i="18"/>
  <c r="S330" i="18"/>
  <c r="R339" i="18"/>
  <c r="Q329" i="18"/>
  <c r="S106" i="18"/>
  <c r="N345" i="18"/>
  <c r="P320" i="18"/>
  <c r="R288" i="18"/>
  <c r="O298" i="18"/>
  <c r="O300" i="18"/>
  <c r="R244" i="18"/>
  <c r="P236" i="18"/>
  <c r="O212" i="18"/>
  <c r="O280" i="18"/>
  <c r="S232" i="18"/>
  <c r="P215" i="18"/>
  <c r="R145" i="18"/>
  <c r="Q179" i="18"/>
  <c r="O198" i="18"/>
  <c r="Q189" i="18"/>
  <c r="N151" i="18"/>
  <c r="O124" i="18"/>
  <c r="Q124" i="18"/>
  <c r="S127" i="18"/>
  <c r="S100" i="18"/>
  <c r="O51" i="18"/>
  <c r="Q102" i="18"/>
  <c r="N42" i="18"/>
  <c r="R74" i="18"/>
  <c r="S109" i="18"/>
  <c r="Q53" i="18"/>
  <c r="Q126" i="18"/>
  <c r="O77" i="18"/>
  <c r="R73" i="18"/>
  <c r="N82" i="18"/>
  <c r="Q16" i="18"/>
  <c r="S96" i="18"/>
  <c r="Q61" i="18"/>
  <c r="R59" i="18"/>
  <c r="R18" i="18"/>
  <c r="O128" i="18"/>
  <c r="S45" i="18"/>
  <c r="Q68" i="18"/>
  <c r="Q39" i="18"/>
  <c r="O47" i="18"/>
  <c r="O89" i="18"/>
  <c r="N128" i="18"/>
  <c r="R100" i="18"/>
  <c r="S62" i="18"/>
  <c r="S110" i="18"/>
  <c r="O25" i="18"/>
  <c r="N57" i="18"/>
  <c r="O80" i="18"/>
  <c r="P104" i="18"/>
  <c r="P51" i="18"/>
  <c r="N80" i="18"/>
  <c r="Q127" i="18"/>
  <c r="S36" i="18"/>
  <c r="O69" i="18"/>
  <c r="S81" i="18"/>
  <c r="O140" i="18"/>
  <c r="O30" i="18"/>
  <c r="O66" i="18"/>
  <c r="S97" i="18"/>
  <c r="S135" i="18"/>
  <c r="P172" i="18"/>
  <c r="N149" i="18"/>
  <c r="Q135" i="18"/>
  <c r="O143" i="18"/>
  <c r="R159" i="18"/>
  <c r="R138" i="18"/>
  <c r="N120" i="18"/>
  <c r="N99" i="18"/>
  <c r="P168" i="18"/>
  <c r="P189" i="18"/>
  <c r="O215" i="18"/>
  <c r="O204" i="18"/>
  <c r="O171" i="18"/>
  <c r="O187" i="18"/>
  <c r="N145" i="18"/>
  <c r="R182" i="18"/>
  <c r="R270" i="18"/>
  <c r="P207" i="18"/>
  <c r="Q185" i="18"/>
  <c r="Q140" i="18"/>
  <c r="R196" i="18"/>
  <c r="Q172" i="18"/>
  <c r="Q214" i="18"/>
  <c r="N334" i="18"/>
  <c r="R329" i="18"/>
  <c r="Q295" i="18"/>
  <c r="N286" i="18"/>
  <c r="N226" i="18"/>
  <c r="R222" i="18"/>
  <c r="S231" i="18"/>
  <c r="Q208" i="18"/>
  <c r="R161" i="18"/>
  <c r="Q181" i="18"/>
  <c r="Q96" i="18"/>
  <c r="O159" i="18"/>
  <c r="R127" i="18"/>
  <c r="O16" i="18"/>
  <c r="P33" i="18"/>
  <c r="P125" i="18"/>
  <c r="N50" i="18"/>
  <c r="N84" i="18"/>
  <c r="N63" i="18"/>
  <c r="P16" i="18"/>
  <c r="O50" i="18"/>
  <c r="Q79" i="18"/>
  <c r="N111" i="18"/>
  <c r="P18" i="18"/>
  <c r="N47" i="18"/>
  <c r="S50" i="18"/>
  <c r="O135" i="18"/>
  <c r="O147" i="18"/>
  <c r="N136" i="18"/>
  <c r="P59" i="18"/>
  <c r="P95" i="18"/>
  <c r="O59" i="18"/>
  <c r="N124" i="18"/>
  <c r="R41" i="18"/>
  <c r="S82" i="18"/>
  <c r="P21" i="18"/>
  <c r="S73" i="18"/>
  <c r="N135" i="18"/>
  <c r="S177" i="18"/>
  <c r="Q141" i="18"/>
  <c r="S163" i="18"/>
  <c r="P142" i="18"/>
  <c r="S178" i="18"/>
  <c r="S145" i="18"/>
  <c r="O217" i="18"/>
  <c r="S160" i="18"/>
  <c r="O210" i="18"/>
  <c r="N178" i="18"/>
  <c r="O151" i="18"/>
  <c r="Q188" i="18"/>
  <c r="N198" i="18"/>
  <c r="S188" i="18"/>
  <c r="P216" i="18"/>
  <c r="N270" i="18"/>
  <c r="Q236" i="18"/>
  <c r="R224" i="18"/>
  <c r="S267" i="18"/>
  <c r="P252" i="18"/>
  <c r="S240" i="18"/>
  <c r="P228" i="18"/>
  <c r="R197" i="18"/>
  <c r="N272" i="18"/>
  <c r="O281" i="18"/>
  <c r="R276" i="18"/>
  <c r="O236" i="18"/>
  <c r="N306" i="18"/>
  <c r="S342" i="18"/>
  <c r="P333" i="18"/>
  <c r="N326" i="18"/>
  <c r="S272" i="18"/>
  <c r="R282" i="18"/>
  <c r="N321" i="18"/>
  <c r="Q333" i="18"/>
  <c r="P314" i="18"/>
  <c r="R317" i="18"/>
  <c r="R347" i="18"/>
  <c r="R352" i="18"/>
  <c r="Q330" i="18"/>
  <c r="S306" i="18"/>
  <c r="Q323" i="18"/>
  <c r="N352" i="18"/>
  <c r="R353" i="18"/>
  <c r="R336" i="18"/>
  <c r="S352" i="18"/>
  <c r="R313" i="18"/>
  <c r="Q279" i="18"/>
  <c r="Q231" i="18"/>
  <c r="S215" i="18"/>
  <c r="R86" i="18"/>
  <c r="Q87" i="18"/>
  <c r="O15" i="18"/>
  <c r="R20" i="18"/>
  <c r="R77" i="18"/>
  <c r="N71" i="18"/>
  <c r="N20" i="18"/>
  <c r="O88" i="18"/>
  <c r="R93" i="18"/>
  <c r="R14" i="18"/>
  <c r="P105" i="18"/>
  <c r="Q21" i="18"/>
  <c r="R106" i="18"/>
  <c r="N90" i="18"/>
  <c r="Q131" i="18"/>
  <c r="N174" i="18"/>
  <c r="O113" i="18"/>
  <c r="P199" i="18"/>
  <c r="O270" i="18"/>
  <c r="S199" i="18"/>
  <c r="Q198" i="18"/>
  <c r="P232" i="18"/>
  <c r="R250" i="18"/>
  <c r="S223" i="18"/>
  <c r="P263" i="18"/>
  <c r="Q215" i="18"/>
  <c r="Q284" i="18"/>
  <c r="N269" i="18"/>
  <c r="P322" i="18"/>
  <c r="S343" i="18"/>
  <c r="N293" i="18"/>
  <c r="Q313" i="18"/>
  <c r="R322" i="18"/>
  <c r="S354" i="18"/>
  <c r="O350" i="18"/>
  <c r="O312" i="18"/>
  <c r="Q317" i="18"/>
  <c r="R267" i="18"/>
  <c r="S192" i="18"/>
  <c r="P281" i="18"/>
  <c r="O277" i="18"/>
  <c r="R135" i="18"/>
  <c r="N141" i="18"/>
  <c r="O176" i="18"/>
  <c r="R169" i="18"/>
  <c r="O137" i="18"/>
  <c r="Q95" i="18"/>
  <c r="S23" i="18"/>
  <c r="S19" i="18"/>
  <c r="Q111" i="18"/>
  <c r="O33" i="18"/>
  <c r="Q74" i="18"/>
  <c r="Q83" i="18"/>
  <c r="S18" i="18"/>
  <c r="P52" i="18"/>
  <c r="Q98" i="18"/>
  <c r="N24" i="18"/>
  <c r="R26" i="18"/>
  <c r="S48" i="18"/>
  <c r="S51" i="18"/>
  <c r="R60" i="18"/>
  <c r="Q69" i="18"/>
  <c r="O60" i="18"/>
  <c r="P60" i="18"/>
  <c r="Q97" i="18"/>
  <c r="O61" i="18"/>
  <c r="N19" i="18"/>
  <c r="P62" i="18"/>
  <c r="N107" i="18"/>
  <c r="R21" i="18"/>
  <c r="P83" i="18"/>
  <c r="N109" i="18"/>
  <c r="P132" i="18"/>
  <c r="S142" i="18"/>
  <c r="N185" i="18"/>
  <c r="O146" i="18"/>
  <c r="S102" i="18"/>
  <c r="O179" i="18"/>
  <c r="N227" i="18"/>
  <c r="R163" i="18"/>
  <c r="S205" i="18"/>
  <c r="O185" i="18"/>
  <c r="O199" i="18"/>
  <c r="Q196" i="18"/>
  <c r="R195" i="18"/>
  <c r="R192" i="18"/>
  <c r="P231" i="18"/>
  <c r="S273" i="18"/>
  <c r="N251" i="18"/>
  <c r="O234" i="18"/>
  <c r="O278" i="18"/>
  <c r="R262" i="18"/>
  <c r="P262" i="18"/>
  <c r="R227" i="18"/>
  <c r="O216" i="18"/>
  <c r="R273" i="18"/>
  <c r="O291" i="18"/>
  <c r="P240" i="18"/>
  <c r="N246" i="18"/>
  <c r="R303" i="18"/>
  <c r="R307" i="18"/>
  <c r="P307" i="18"/>
  <c r="R320" i="18"/>
  <c r="R289" i="18"/>
  <c r="S285" i="18"/>
  <c r="O323" i="18"/>
  <c r="N327" i="18"/>
  <c r="O341" i="18"/>
  <c r="P329" i="18"/>
  <c r="S255" i="18"/>
  <c r="O273" i="18"/>
  <c r="R263" i="18"/>
  <c r="N173" i="18"/>
  <c r="P117" i="18"/>
  <c r="Q20" i="18"/>
  <c r="R91" i="18"/>
  <c r="R108" i="18"/>
  <c r="R17" i="18"/>
  <c r="N119" i="18"/>
  <c r="R46" i="18"/>
  <c r="O90" i="18"/>
  <c r="N79" i="18"/>
  <c r="P61" i="18"/>
  <c r="Q71" i="18"/>
  <c r="N66" i="18"/>
  <c r="R30" i="18"/>
  <c r="S115" i="18"/>
  <c r="Q149" i="18"/>
  <c r="O182" i="18"/>
  <c r="P185" i="18"/>
  <c r="O172" i="18"/>
  <c r="N192" i="18"/>
  <c r="P205" i="18"/>
  <c r="R198" i="18"/>
  <c r="N279" i="18"/>
  <c r="O235" i="18"/>
  <c r="N275" i="18"/>
  <c r="N230" i="18"/>
  <c r="O282" i="18"/>
  <c r="P250" i="18"/>
  <c r="R304" i="18"/>
  <c r="P308" i="18"/>
  <c r="Q293" i="18"/>
  <c r="R333" i="18"/>
  <c r="N332" i="18"/>
  <c r="N353" i="18"/>
  <c r="O342" i="18"/>
  <c r="O348" i="18"/>
  <c r="P321" i="18"/>
  <c r="P309" i="18"/>
  <c r="S250" i="18"/>
  <c r="S280" i="18"/>
  <c r="R245" i="18"/>
  <c r="S204" i="18"/>
  <c r="S182" i="18"/>
  <c r="R231" i="18"/>
  <c r="P149" i="18"/>
  <c r="Q150" i="18"/>
  <c r="O123" i="18"/>
  <c r="P54" i="18"/>
  <c r="S79" i="18"/>
  <c r="N73" i="18"/>
  <c r="S65" i="18"/>
  <c r="O109" i="18"/>
  <c r="N77" i="18"/>
  <c r="Q54" i="18"/>
  <c r="O115" i="18"/>
  <c r="N43" i="18"/>
  <c r="P41" i="18"/>
  <c r="S44" i="18"/>
  <c r="P90" i="18"/>
  <c r="O18" i="18"/>
  <c r="N118" i="18"/>
  <c r="O114" i="18"/>
  <c r="R104" i="18"/>
  <c r="R36" i="18"/>
  <c r="O81" i="18"/>
  <c r="R35" i="18"/>
  <c r="R80" i="18"/>
  <c r="P35" i="18"/>
  <c r="N75" i="18"/>
  <c r="O142" i="18"/>
  <c r="R51" i="18"/>
  <c r="S107" i="18"/>
  <c r="N171" i="18"/>
  <c r="R160" i="18"/>
  <c r="R141" i="18"/>
  <c r="R125" i="18"/>
  <c r="O164" i="18"/>
  <c r="S161" i="18"/>
  <c r="O167" i="18"/>
  <c r="R203" i="18"/>
  <c r="N203" i="18"/>
  <c r="P153" i="18"/>
  <c r="N248" i="18"/>
  <c r="S216" i="18"/>
  <c r="P152" i="18"/>
  <c r="Q161" i="18"/>
  <c r="N224" i="18"/>
  <c r="Q257" i="18"/>
  <c r="Q223" i="18"/>
  <c r="R258" i="18"/>
  <c r="O259" i="18"/>
  <c r="R240" i="18"/>
  <c r="O227" i="18"/>
  <c r="S217" i="18"/>
  <c r="S254" i="18"/>
  <c r="O231" i="18"/>
  <c r="O260" i="18"/>
  <c r="S270" i="18"/>
  <c r="Q260" i="18"/>
  <c r="P298" i="18"/>
  <c r="N331" i="18"/>
  <c r="O307" i="18"/>
  <c r="Q300" i="18"/>
  <c r="P313" i="18"/>
  <c r="Q314" i="18"/>
  <c r="S312" i="18"/>
  <c r="S323" i="18"/>
  <c r="R334" i="18"/>
  <c r="N351" i="18"/>
  <c r="N350" i="18"/>
  <c r="R354" i="18"/>
  <c r="P347" i="18"/>
  <c r="P353" i="18"/>
  <c r="S89" i="18"/>
  <c r="O325" i="18"/>
  <c r="Q307" i="18"/>
  <c r="Q253" i="18"/>
  <c r="Q282" i="18"/>
  <c r="P338" i="18"/>
  <c r="Q285" i="18"/>
  <c r="Q234" i="18"/>
  <c r="N177" i="18"/>
  <c r="Q143" i="18"/>
  <c r="S120" i="18"/>
  <c r="O54" i="18"/>
  <c r="S56" i="18"/>
  <c r="O75" i="18"/>
  <c r="S126" i="18"/>
  <c r="Q48" i="18"/>
  <c r="Q33" i="18"/>
  <c r="Q116" i="18"/>
  <c r="S111" i="18"/>
  <c r="O82" i="18"/>
  <c r="Q82" i="18"/>
  <c r="P81" i="18"/>
  <c r="Q55" i="18"/>
  <c r="Q170" i="18"/>
  <c r="Q152" i="18"/>
  <c r="R171" i="18"/>
  <c r="P178" i="18"/>
  <c r="R205" i="18"/>
  <c r="N137" i="18"/>
  <c r="Q151" i="18"/>
  <c r="O244" i="18"/>
  <c r="N234" i="18"/>
  <c r="N261" i="18"/>
  <c r="Q226" i="18"/>
  <c r="P275" i="18"/>
  <c r="P271" i="18"/>
  <c r="S277" i="18"/>
  <c r="S333" i="18"/>
  <c r="S309" i="18"/>
  <c r="Q316" i="18"/>
  <c r="Q326" i="18"/>
  <c r="R305" i="18"/>
  <c r="Q327" i="18"/>
  <c r="P354" i="18"/>
  <c r="Q273" i="18"/>
  <c r="N317" i="18"/>
  <c r="P332" i="18"/>
  <c r="S315" i="18"/>
  <c r="O354" i="18"/>
  <c r="P219" i="18"/>
  <c r="O180" i="18"/>
  <c r="P64" i="18"/>
  <c r="Q109" i="18"/>
  <c r="S30" i="18"/>
  <c r="Q25" i="18"/>
  <c r="O37" i="18"/>
  <c r="Q30" i="18"/>
  <c r="R120" i="18"/>
  <c r="S150" i="18"/>
  <c r="O163" i="18"/>
  <c r="R144" i="18"/>
  <c r="Q216" i="18"/>
  <c r="N291" i="18"/>
  <c r="R293" i="18"/>
  <c r="O340" i="18"/>
  <c r="P267" i="18"/>
  <c r="S180" i="18"/>
  <c r="N138" i="18"/>
  <c r="S59" i="18"/>
  <c r="S27" i="18"/>
  <c r="S54" i="18"/>
  <c r="P115" i="18"/>
  <c r="Q37" i="18"/>
  <c r="O153" i="18"/>
  <c r="R131" i="18"/>
  <c r="N181" i="18"/>
  <c r="P154" i="18"/>
  <c r="P173" i="18"/>
  <c r="R259" i="18"/>
  <c r="O221" i="18"/>
  <c r="R271" i="18"/>
  <c r="S307" i="18"/>
  <c r="R314" i="18"/>
  <c r="S348" i="18"/>
  <c r="O339" i="18"/>
  <c r="S249" i="18"/>
  <c r="N200" i="18"/>
  <c r="O42" i="18"/>
  <c r="R78" i="18"/>
  <c r="N83" i="18"/>
  <c r="P48" i="18"/>
  <c r="S38" i="18"/>
  <c r="S132" i="18"/>
  <c r="Q183" i="18"/>
  <c r="R264" i="18"/>
  <c r="S320" i="18"/>
  <c r="N329" i="18"/>
  <c r="R308" i="18"/>
  <c r="O276" i="18"/>
  <c r="R232" i="18"/>
  <c r="O170" i="18"/>
  <c r="O141" i="18"/>
  <c r="R137" i="18"/>
  <c r="P45" i="18"/>
  <c r="P53" i="18"/>
  <c r="P66" i="18"/>
  <c r="P138" i="18"/>
  <c r="N96" i="18"/>
  <c r="Q35" i="18"/>
  <c r="R126" i="18"/>
  <c r="S128" i="18"/>
  <c r="R81" i="18"/>
  <c r="P122" i="18"/>
  <c r="P82" i="18"/>
  <c r="P69" i="18"/>
  <c r="Q176" i="18"/>
  <c r="S153" i="18"/>
  <c r="Q177" i="18"/>
  <c r="P192" i="18"/>
  <c r="Q187" i="18"/>
  <c r="N147" i="18"/>
  <c r="S176" i="18"/>
  <c r="N214" i="18"/>
  <c r="N235" i="18"/>
  <c r="Q261" i="18"/>
  <c r="O241" i="18"/>
  <c r="P296" i="18"/>
  <c r="S207" i="18"/>
  <c r="S335" i="18"/>
  <c r="Q342" i="18"/>
  <c r="N322" i="18"/>
  <c r="S226" i="18"/>
  <c r="S155" i="18"/>
  <c r="S78" i="18"/>
  <c r="N62" i="18"/>
  <c r="O45" i="18"/>
  <c r="R101" i="18"/>
  <c r="S28" i="18"/>
  <c r="N108" i="18"/>
  <c r="N182" i="18"/>
  <c r="Q191" i="18"/>
  <c r="N219" i="18"/>
  <c r="N244" i="18"/>
  <c r="N259" i="18"/>
  <c r="N241" i="18"/>
  <c r="O275" i="18"/>
  <c r="O230" i="18"/>
  <c r="R296" i="18"/>
  <c r="O333" i="18"/>
  <c r="P311" i="18"/>
  <c r="N330" i="18"/>
  <c r="Q343" i="18"/>
  <c r="N298" i="18"/>
  <c r="P188" i="18"/>
  <c r="N48" i="18"/>
  <c r="O99" i="18"/>
  <c r="Q56" i="18"/>
  <c r="P30" i="18"/>
  <c r="P47" i="18"/>
  <c r="S37" i="18"/>
  <c r="P119" i="18"/>
  <c r="O136" i="18"/>
  <c r="Q205" i="18"/>
  <c r="R162" i="18"/>
  <c r="P266" i="18"/>
  <c r="Q242" i="18"/>
  <c r="Q233" i="18"/>
  <c r="S293" i="18"/>
  <c r="P315" i="18"/>
  <c r="P341" i="18"/>
  <c r="S353" i="18"/>
  <c r="N318" i="18"/>
  <c r="N213" i="18"/>
  <c r="S122" i="18"/>
  <c r="P63" i="18"/>
  <c r="N25" i="18"/>
  <c r="S24" i="18"/>
  <c r="N55" i="18"/>
  <c r="S17" i="18"/>
  <c r="N146" i="18"/>
  <c r="Q167" i="18"/>
  <c r="O311" i="18"/>
  <c r="P279" i="18"/>
  <c r="R316" i="18"/>
  <c r="Q347" i="18"/>
  <c r="S222" i="18"/>
  <c r="R214" i="18"/>
  <c r="N197" i="18"/>
  <c r="N170" i="18"/>
  <c r="O87" i="18"/>
  <c r="N102" i="18"/>
  <c r="R19" i="18"/>
  <c r="O65" i="18"/>
  <c r="R124" i="18"/>
  <c r="O23" i="18"/>
  <c r="Q138" i="18"/>
  <c r="P101" i="18"/>
  <c r="R25" i="18"/>
  <c r="P136" i="18"/>
  <c r="P25" i="18"/>
  <c r="R117" i="18"/>
  <c r="Q89" i="18"/>
  <c r="P150" i="18"/>
  <c r="S172" i="18"/>
  <c r="Q128" i="18"/>
  <c r="N204" i="18"/>
  <c r="R134" i="18"/>
  <c r="P208" i="18"/>
  <c r="N207" i="18"/>
  <c r="R234" i="18"/>
  <c r="R251" i="18"/>
  <c r="N240" i="18"/>
  <c r="S262" i="18"/>
  <c r="S227" i="18"/>
  <c r="N294" i="18"/>
  <c r="P289" i="18"/>
  <c r="O331" i="18"/>
  <c r="R300" i="18"/>
  <c r="P295" i="18"/>
  <c r="R321" i="18"/>
  <c r="Q331" i="18"/>
  <c r="O313" i="18"/>
  <c r="O344" i="18"/>
  <c r="S287" i="18"/>
  <c r="O257" i="18"/>
  <c r="Q204" i="18"/>
  <c r="P170" i="18"/>
  <c r="S137" i="18"/>
  <c r="P102" i="18"/>
  <c r="O92" i="18"/>
  <c r="O107" i="18"/>
  <c r="N46" i="18"/>
  <c r="O20" i="18"/>
  <c r="N78" i="18"/>
  <c r="R90" i="18"/>
  <c r="Q80" i="18"/>
  <c r="R71" i="18"/>
  <c r="O79" i="18"/>
  <c r="O70" i="18"/>
  <c r="P38" i="18"/>
  <c r="O127" i="18"/>
  <c r="S131" i="18"/>
  <c r="O110" i="18"/>
  <c r="O192" i="18"/>
  <c r="R177" i="18"/>
  <c r="Q201" i="18"/>
  <c r="O225" i="18"/>
  <c r="R199" i="18"/>
  <c r="N284" i="18"/>
  <c r="Q240" i="18"/>
  <c r="Q276" i="18"/>
  <c r="N254" i="18"/>
  <c r="R281" i="18"/>
  <c r="Q249" i="18"/>
  <c r="O322" i="18"/>
  <c r="R309" i="18"/>
  <c r="R311" i="18"/>
  <c r="O327" i="18"/>
  <c r="S332" i="18"/>
  <c r="Q352" i="18"/>
  <c r="R342" i="18"/>
  <c r="R351" i="18"/>
  <c r="S289" i="18"/>
  <c r="S210" i="18"/>
  <c r="S162" i="18"/>
  <c r="Q122" i="18"/>
  <c r="N87" i="18"/>
  <c r="O96" i="18"/>
  <c r="Q41" i="18"/>
  <c r="S77" i="18"/>
  <c r="O97" i="18"/>
  <c r="R72" i="18"/>
  <c r="O71" i="18"/>
  <c r="Q160" i="18"/>
  <c r="O131" i="18"/>
  <c r="Q180" i="18"/>
  <c r="P260" i="18"/>
  <c r="N287" i="18"/>
  <c r="N195" i="18"/>
  <c r="R284" i="18"/>
  <c r="S325" i="18"/>
  <c r="N312" i="18"/>
  <c r="S322" i="18"/>
  <c r="Q353" i="18"/>
  <c r="Q125" i="18"/>
  <c r="P140" i="18"/>
  <c r="R173" i="18"/>
  <c r="P227" i="18"/>
  <c r="P331" i="18"/>
  <c r="Q340" i="18"/>
  <c r="R249" i="18"/>
  <c r="P91" i="18"/>
  <c r="S29" i="18"/>
  <c r="P111" i="18"/>
  <c r="N81" i="18"/>
  <c r="S39" i="18"/>
  <c r="N142" i="18"/>
  <c r="S156" i="18"/>
  <c r="N223" i="18"/>
  <c r="R216" i="18"/>
  <c r="P248" i="18"/>
  <c r="N255" i="18"/>
  <c r="P261" i="18"/>
  <c r="R312" i="18"/>
  <c r="S334" i="18"/>
  <c r="P352" i="18"/>
  <c r="R64" i="18"/>
  <c r="P133" i="18"/>
  <c r="O245" i="18"/>
  <c r="N268" i="18"/>
  <c r="P251" i="18"/>
  <c r="O304" i="18"/>
  <c r="R295" i="18"/>
  <c r="X54" i="18" l="1"/>
  <c r="AI54" i="18" s="1"/>
  <c r="T127" i="18"/>
  <c r="L11" i="13" s="1"/>
  <c r="U127" i="18"/>
  <c r="U122" i="18"/>
  <c r="T195" i="18"/>
  <c r="P7" i="13" s="1"/>
  <c r="U195" i="18"/>
  <c r="P25" i="13" s="1"/>
  <c r="U244" i="18"/>
  <c r="R37" i="13" s="1"/>
  <c r="T244" i="18"/>
  <c r="R19" i="13" s="1"/>
  <c r="AC221" i="18"/>
  <c r="AN221" i="18" s="1"/>
  <c r="AC59" i="18"/>
  <c r="AN59" i="18" s="1"/>
  <c r="AC239" i="18"/>
  <c r="AN239" i="18" s="1"/>
  <c r="AC293" i="18"/>
  <c r="AN293" i="18" s="1"/>
  <c r="AC185" i="18"/>
  <c r="AN185" i="18" s="1"/>
  <c r="AC275" i="18"/>
  <c r="AN275" i="18" s="1"/>
  <c r="AC149" i="18"/>
  <c r="AN149" i="18" s="1"/>
  <c r="AC203" i="18"/>
  <c r="AN203" i="18" s="1"/>
  <c r="AC131" i="18"/>
  <c r="AN131" i="18" s="1"/>
  <c r="AC347" i="18"/>
  <c r="AN347" i="18" s="1"/>
  <c r="AC113" i="18"/>
  <c r="AN113" i="18" s="1"/>
  <c r="AC95" i="18"/>
  <c r="AN95" i="18" s="1"/>
  <c r="AC77" i="18"/>
  <c r="AN77" i="18" s="1"/>
  <c r="AC167" i="18"/>
  <c r="AN167" i="18" s="1"/>
  <c r="AC257" i="18"/>
  <c r="AN257" i="18" s="1"/>
  <c r="AC329" i="18"/>
  <c r="AN329" i="18" s="1"/>
  <c r="AC311" i="18"/>
  <c r="AN311" i="18" s="1"/>
  <c r="AC41" i="18"/>
  <c r="AN41" i="18" s="1"/>
  <c r="U174" i="18"/>
  <c r="N39" i="13" s="1"/>
  <c r="T174" i="18"/>
  <c r="N21" i="13" s="1"/>
  <c r="U321" i="18"/>
  <c r="W25" i="13" s="1"/>
  <c r="T321" i="18"/>
  <c r="W7" i="13" s="1"/>
  <c r="U145" i="18"/>
  <c r="T145" i="18"/>
  <c r="M11" i="13" s="1"/>
  <c r="T114" i="18"/>
  <c r="K15" i="13" s="1"/>
  <c r="U114" i="18"/>
  <c r="K33" i="13" s="1"/>
  <c r="U305" i="18"/>
  <c r="T305" i="18"/>
  <c r="V9" i="13" s="1"/>
  <c r="U34" i="18"/>
  <c r="G26" i="13" s="1"/>
  <c r="T34" i="18"/>
  <c r="G8" i="13" s="1"/>
  <c r="U255" i="18"/>
  <c r="T255" i="18"/>
  <c r="S13" i="13" s="1"/>
  <c r="T204" i="18"/>
  <c r="P15" i="13" s="1"/>
  <c r="U204" i="18"/>
  <c r="P33" i="13" s="1"/>
  <c r="U317" i="18"/>
  <c r="V38" i="13" s="1"/>
  <c r="T317" i="18"/>
  <c r="V20" i="13" s="1"/>
  <c r="T227" i="18"/>
  <c r="Q20" i="13" s="1"/>
  <c r="U227" i="18"/>
  <c r="Q38" i="13" s="1"/>
  <c r="X308" i="18"/>
  <c r="AI308" i="18" s="1"/>
  <c r="X164" i="18"/>
  <c r="AI164" i="18" s="1"/>
  <c r="X326" i="18"/>
  <c r="AI326" i="18" s="1"/>
  <c r="X146" i="18"/>
  <c r="AI146" i="18" s="1"/>
  <c r="X290" i="18"/>
  <c r="AI290" i="18" s="1"/>
  <c r="X344" i="18"/>
  <c r="AI344" i="18" s="1"/>
  <c r="X128" i="18"/>
  <c r="AI128" i="18" s="1"/>
  <c r="X74" i="18"/>
  <c r="X182" i="18"/>
  <c r="AI182" i="18" s="1"/>
  <c r="X218" i="18"/>
  <c r="AI218" i="18" s="1"/>
  <c r="X56" i="18"/>
  <c r="X38" i="18"/>
  <c r="X236" i="18"/>
  <c r="AI236" i="18" s="1"/>
  <c r="X254" i="18"/>
  <c r="AI254" i="18" s="1"/>
  <c r="T20" i="18"/>
  <c r="F12" i="13" s="1"/>
  <c r="U20" i="18"/>
  <c r="F30" i="13" s="1"/>
  <c r="X200" i="18"/>
  <c r="AI200" i="18" s="1"/>
  <c r="X272" i="18"/>
  <c r="AI272" i="18" s="1"/>
  <c r="X92" i="18"/>
  <c r="X110" i="18"/>
  <c r="AI110" i="18" s="1"/>
  <c r="T111" i="18"/>
  <c r="K13" i="13" s="1"/>
  <c r="U111" i="18"/>
  <c r="T299" i="18"/>
  <c r="U20" i="13" s="1"/>
  <c r="U299" i="18"/>
  <c r="U38" i="13" s="1"/>
  <c r="AC173" i="18"/>
  <c r="AN173" i="18" s="1"/>
  <c r="AC335" i="18"/>
  <c r="AN335" i="18" s="1"/>
  <c r="AC317" i="18"/>
  <c r="AN317" i="18" s="1"/>
  <c r="AC263" i="18"/>
  <c r="AN263" i="18" s="1"/>
  <c r="AC65" i="18"/>
  <c r="AN65" i="18" s="1"/>
  <c r="AC209" i="18"/>
  <c r="AN209" i="18" s="1"/>
  <c r="AC47" i="18"/>
  <c r="AN47" i="18" s="1"/>
  <c r="AC101" i="18"/>
  <c r="AN101" i="18" s="1"/>
  <c r="AC227" i="18"/>
  <c r="AN227" i="18" s="1"/>
  <c r="AC155" i="18"/>
  <c r="AN155" i="18" s="1"/>
  <c r="AC353" i="18"/>
  <c r="AN353" i="18" s="1"/>
  <c r="AC119" i="18"/>
  <c r="AN119" i="18" s="1"/>
  <c r="AC137" i="18"/>
  <c r="AN137" i="18" s="1"/>
  <c r="AC281" i="18"/>
  <c r="AN281" i="18" s="1"/>
  <c r="AC83" i="18"/>
  <c r="AN83" i="18" s="1"/>
  <c r="AC191" i="18"/>
  <c r="AN191" i="18" s="1"/>
  <c r="AC245" i="18"/>
  <c r="AN245" i="18" s="1"/>
  <c r="AC299" i="18"/>
  <c r="AN299" i="18" s="1"/>
  <c r="AB138" i="18"/>
  <c r="AM138" i="18" s="1"/>
  <c r="AB282" i="18"/>
  <c r="AM282" i="18" s="1"/>
  <c r="AB156" i="18"/>
  <c r="AM156" i="18" s="1"/>
  <c r="AB336" i="18"/>
  <c r="AM336" i="18" s="1"/>
  <c r="AB174" i="18"/>
  <c r="AM174" i="18" s="1"/>
  <c r="AB318" i="18"/>
  <c r="AM318" i="18" s="1"/>
  <c r="AB102" i="18"/>
  <c r="AM102" i="18" s="1"/>
  <c r="AB246" i="18"/>
  <c r="AM246" i="18" s="1"/>
  <c r="AB192" i="18"/>
  <c r="AM192" i="18" s="1"/>
  <c r="AB210" i="18"/>
  <c r="AM210" i="18" s="1"/>
  <c r="AB228" i="18"/>
  <c r="AM228" i="18" s="1"/>
  <c r="AB264" i="18"/>
  <c r="AM264" i="18" s="1"/>
  <c r="AB354" i="18"/>
  <c r="AM354" i="18" s="1"/>
  <c r="AB300" i="18"/>
  <c r="AM300" i="18" s="1"/>
  <c r="AB48" i="18"/>
  <c r="AM48" i="18" s="1"/>
  <c r="AB66" i="18"/>
  <c r="AM66" i="18" s="1"/>
  <c r="AB120" i="18"/>
  <c r="AM120" i="18" s="1"/>
  <c r="AB84" i="18"/>
  <c r="AM84" i="18" s="1"/>
  <c r="AC72" i="18"/>
  <c r="AN72" i="18" s="1"/>
  <c r="AC126" i="18"/>
  <c r="AN126" i="18" s="1"/>
  <c r="AC216" i="18"/>
  <c r="AN216" i="18" s="1"/>
  <c r="AC288" i="18"/>
  <c r="AN288" i="18" s="1"/>
  <c r="AC252" i="18"/>
  <c r="AN252" i="18" s="1"/>
  <c r="AC144" i="18"/>
  <c r="AN144" i="18" s="1"/>
  <c r="AC90" i="18"/>
  <c r="AN90" i="18" s="1"/>
  <c r="AC342" i="18"/>
  <c r="AN342" i="18" s="1"/>
  <c r="AC324" i="18"/>
  <c r="AN324" i="18" s="1"/>
  <c r="AC108" i="18"/>
  <c r="AN108" i="18" s="1"/>
  <c r="AC306" i="18"/>
  <c r="AN306" i="18" s="1"/>
  <c r="AC198" i="18"/>
  <c r="AN198" i="18" s="1"/>
  <c r="AC162" i="18"/>
  <c r="AN162" i="18" s="1"/>
  <c r="AC180" i="18"/>
  <c r="AN180" i="18" s="1"/>
  <c r="AC234" i="18"/>
  <c r="AN234" i="18" s="1"/>
  <c r="AC270" i="18"/>
  <c r="AN270" i="18" s="1"/>
  <c r="AC54" i="18"/>
  <c r="AN54" i="18" s="1"/>
  <c r="AC36" i="18"/>
  <c r="AN36" i="18" s="1"/>
  <c r="T270" i="18"/>
  <c r="T10" i="13" s="1"/>
  <c r="U270" i="18"/>
  <c r="U290" i="18"/>
  <c r="T290" i="18"/>
  <c r="U12" i="13" s="1"/>
  <c r="T280" i="18"/>
  <c r="T19" i="13" s="1"/>
  <c r="U280" i="18"/>
  <c r="T37" i="13" s="1"/>
  <c r="T93" i="18"/>
  <c r="J13" i="13" s="1"/>
  <c r="U93" i="18"/>
  <c r="T125" i="18"/>
  <c r="L9" i="13" s="1"/>
  <c r="U125" i="18"/>
  <c r="U38" i="18"/>
  <c r="T38" i="18"/>
  <c r="G12" i="13" s="1"/>
  <c r="T129" i="18"/>
  <c r="L13" i="13" s="1"/>
  <c r="U129" i="18"/>
  <c r="U142" i="18"/>
  <c r="M26" i="13" s="1"/>
  <c r="T142" i="18"/>
  <c r="M8" i="13" s="1"/>
  <c r="T284" i="18"/>
  <c r="U6" i="13" s="1"/>
  <c r="U284" i="18"/>
  <c r="U24" i="13" s="1"/>
  <c r="Y236" i="18"/>
  <c r="AJ236" i="18" s="1"/>
  <c r="Y182" i="18"/>
  <c r="AJ182" i="18" s="1"/>
  <c r="Y38" i="18"/>
  <c r="AJ38" i="18" s="1"/>
  <c r="Y254" i="18"/>
  <c r="AJ254" i="18" s="1"/>
  <c r="Y146" i="18"/>
  <c r="AJ146" i="18" s="1"/>
  <c r="Y272" i="18"/>
  <c r="AJ272" i="18" s="1"/>
  <c r="Y92" i="18"/>
  <c r="AJ92" i="18" s="1"/>
  <c r="Y74" i="18"/>
  <c r="AJ74" i="18" s="1"/>
  <c r="Y344" i="18"/>
  <c r="AJ344" i="18" s="1"/>
  <c r="Y200" i="18"/>
  <c r="AJ200" i="18" s="1"/>
  <c r="Y110" i="18"/>
  <c r="AJ110" i="18" s="1"/>
  <c r="Y164" i="18"/>
  <c r="AJ164" i="18" s="1"/>
  <c r="Y56" i="18"/>
  <c r="AJ56" i="18" s="1"/>
  <c r="Y218" i="18"/>
  <c r="AJ218" i="18" s="1"/>
  <c r="Y290" i="18"/>
  <c r="AJ290" i="18" s="1"/>
  <c r="Y308" i="18"/>
  <c r="AJ308" i="18" s="1"/>
  <c r="Y326" i="18"/>
  <c r="AJ326" i="18" s="1"/>
  <c r="Y128" i="18"/>
  <c r="AJ128" i="18" s="1"/>
  <c r="U207" i="18"/>
  <c r="P36" i="13" s="1"/>
  <c r="T207" i="18"/>
  <c r="P18" i="13" s="1"/>
  <c r="AC78" i="18"/>
  <c r="AN78" i="18" s="1"/>
  <c r="AC348" i="18"/>
  <c r="AN348" i="18" s="1"/>
  <c r="AC168" i="18"/>
  <c r="AN168" i="18" s="1"/>
  <c r="AC294" i="18"/>
  <c r="AN294" i="18" s="1"/>
  <c r="AC132" i="18"/>
  <c r="AN132" i="18" s="1"/>
  <c r="AC240" i="18"/>
  <c r="AN240" i="18" s="1"/>
  <c r="AC96" i="18"/>
  <c r="AN96" i="18" s="1"/>
  <c r="AC330" i="18"/>
  <c r="AN330" i="18" s="1"/>
  <c r="AC204" i="18"/>
  <c r="AN204" i="18" s="1"/>
  <c r="AC186" i="18"/>
  <c r="AN186" i="18" s="1"/>
  <c r="AC312" i="18"/>
  <c r="AN312" i="18" s="1"/>
  <c r="AC276" i="18"/>
  <c r="AN276" i="18" s="1"/>
  <c r="AC60" i="18"/>
  <c r="AN60" i="18" s="1"/>
  <c r="AC150" i="18"/>
  <c r="AN150" i="18" s="1"/>
  <c r="AC222" i="18"/>
  <c r="AN222" i="18" s="1"/>
  <c r="AC42" i="18"/>
  <c r="AN42" i="18" s="1"/>
  <c r="AC258" i="18"/>
  <c r="AN258" i="18" s="1"/>
  <c r="AC114" i="18"/>
  <c r="AN114" i="18" s="1"/>
  <c r="U298" i="18"/>
  <c r="U37" i="13" s="1"/>
  <c r="T298" i="18"/>
  <c r="U19" i="13" s="1"/>
  <c r="U241" i="18"/>
  <c r="R34" i="13" s="1"/>
  <c r="T241" i="18"/>
  <c r="R16" i="13" s="1"/>
  <c r="T147" i="18"/>
  <c r="M13" i="13" s="1"/>
  <c r="U147" i="18"/>
  <c r="U329" i="18"/>
  <c r="W32" i="13" s="1"/>
  <c r="T329" i="18"/>
  <c r="W14" i="13" s="1"/>
  <c r="U261" i="18"/>
  <c r="S36" i="13" s="1"/>
  <c r="T261" i="18"/>
  <c r="S18" i="13" s="1"/>
  <c r="U177" i="18"/>
  <c r="O25" i="13" s="1"/>
  <c r="T177" i="18"/>
  <c r="O7" i="13" s="1"/>
  <c r="U73" i="18"/>
  <c r="T73" i="18"/>
  <c r="I11" i="13" s="1"/>
  <c r="U353" i="18"/>
  <c r="X38" i="13" s="1"/>
  <c r="T353" i="18"/>
  <c r="X20" i="13" s="1"/>
  <c r="U230" i="18"/>
  <c r="R24" i="13" s="1"/>
  <c r="T230" i="18"/>
  <c r="R6" i="13" s="1"/>
  <c r="U79" i="18"/>
  <c r="I34" i="13" s="1"/>
  <c r="T79" i="18"/>
  <c r="I16" i="13" s="1"/>
  <c r="AB116" i="18"/>
  <c r="AM116" i="18" s="1"/>
  <c r="AB260" i="18"/>
  <c r="AM260" i="18" s="1"/>
  <c r="AB134" i="18"/>
  <c r="AM134" i="18" s="1"/>
  <c r="AB278" i="18"/>
  <c r="AM278" i="18" s="1"/>
  <c r="AB152" i="18"/>
  <c r="AM152" i="18" s="1"/>
  <c r="AB350" i="18"/>
  <c r="AM350" i="18" s="1"/>
  <c r="AB80" i="18"/>
  <c r="AM80" i="18" s="1"/>
  <c r="AB224" i="18"/>
  <c r="AM224" i="18" s="1"/>
  <c r="AB296" i="18"/>
  <c r="AM296" i="18" s="1"/>
  <c r="AB332" i="18"/>
  <c r="AM332" i="18" s="1"/>
  <c r="AB62" i="18"/>
  <c r="AM62" i="18" s="1"/>
  <c r="AB314" i="18"/>
  <c r="AM314" i="18" s="1"/>
  <c r="AB98" i="18"/>
  <c r="AM98" i="18" s="1"/>
  <c r="AB44" i="18"/>
  <c r="AM44" i="18" s="1"/>
  <c r="AB188" i="18"/>
  <c r="AM188" i="18" s="1"/>
  <c r="AB242" i="18"/>
  <c r="AM242" i="18" s="1"/>
  <c r="AB170" i="18"/>
  <c r="AM170" i="18" s="1"/>
  <c r="AB206" i="18"/>
  <c r="AM206" i="18" s="1"/>
  <c r="AB248" i="18"/>
  <c r="AM248" i="18" s="1"/>
  <c r="AB320" i="18"/>
  <c r="AM320" i="18" s="1"/>
  <c r="AB266" i="18"/>
  <c r="AM266" i="18" s="1"/>
  <c r="AB122" i="18"/>
  <c r="AM122" i="18" s="1"/>
  <c r="AB212" i="18"/>
  <c r="AM212" i="18" s="1"/>
  <c r="AB104" i="18"/>
  <c r="AM104" i="18" s="1"/>
  <c r="AB68" i="18"/>
  <c r="AM68" i="18" s="1"/>
  <c r="AB338" i="18"/>
  <c r="AM338" i="18" s="1"/>
  <c r="AB158" i="18"/>
  <c r="AM158" i="18" s="1"/>
  <c r="AB194" i="18"/>
  <c r="AM194" i="18" s="1"/>
  <c r="AB140" i="18"/>
  <c r="AM140" i="18" s="1"/>
  <c r="AB230" i="18"/>
  <c r="AM230" i="18" s="1"/>
  <c r="AB284" i="18"/>
  <c r="AM284" i="18" s="1"/>
  <c r="AB176" i="18"/>
  <c r="AM176" i="18" s="1"/>
  <c r="AB302" i="18"/>
  <c r="AM302" i="18" s="1"/>
  <c r="AB50" i="18"/>
  <c r="AM50" i="18" s="1"/>
  <c r="AB86" i="18"/>
  <c r="AM86" i="18" s="1"/>
  <c r="AB32" i="18"/>
  <c r="AM32" i="18" s="1"/>
  <c r="U306" i="18"/>
  <c r="T306" i="18"/>
  <c r="V10" i="13" s="1"/>
  <c r="T84" i="18"/>
  <c r="I21" i="13" s="1"/>
  <c r="U84" i="18"/>
  <c r="I39" i="13" s="1"/>
  <c r="U296" i="18"/>
  <c r="U35" i="13" s="1"/>
  <c r="T296" i="18"/>
  <c r="U17" i="13" s="1"/>
  <c r="U132" i="18"/>
  <c r="L33" i="13" s="1"/>
  <c r="T132" i="18"/>
  <c r="L15" i="13" s="1"/>
  <c r="AC61" i="18"/>
  <c r="AN61" i="18" s="1"/>
  <c r="AC205" i="18"/>
  <c r="AN205" i="18" s="1"/>
  <c r="AC43" i="18"/>
  <c r="AN43" i="18" s="1"/>
  <c r="AC187" i="18"/>
  <c r="AN187" i="18" s="1"/>
  <c r="AC223" i="18"/>
  <c r="AN223" i="18" s="1"/>
  <c r="AC115" i="18"/>
  <c r="AN115" i="18" s="1"/>
  <c r="AC277" i="18"/>
  <c r="AN277" i="18" s="1"/>
  <c r="AC97" i="18"/>
  <c r="AN97" i="18" s="1"/>
  <c r="AC133" i="18"/>
  <c r="AN133" i="18" s="1"/>
  <c r="AC331" i="18"/>
  <c r="AN331" i="18" s="1"/>
  <c r="AC313" i="18"/>
  <c r="AN313" i="18" s="1"/>
  <c r="AC169" i="18"/>
  <c r="AN169" i="18" s="1"/>
  <c r="AC259" i="18"/>
  <c r="AN259" i="18" s="1"/>
  <c r="AC241" i="18"/>
  <c r="AN241" i="18" s="1"/>
  <c r="AC79" i="18"/>
  <c r="AN79" i="18" s="1"/>
  <c r="AC151" i="18"/>
  <c r="AN151" i="18" s="1"/>
  <c r="AC295" i="18"/>
  <c r="AN295" i="18" s="1"/>
  <c r="AC349" i="18"/>
  <c r="AN349" i="18" s="1"/>
  <c r="T221" i="18"/>
  <c r="Q14" i="13" s="1"/>
  <c r="U221" i="18"/>
  <c r="Q32" i="13" s="1"/>
  <c r="X69" i="18"/>
  <c r="X321" i="18"/>
  <c r="AI321" i="18" s="1"/>
  <c r="X87" i="18"/>
  <c r="X213" i="18"/>
  <c r="AI213" i="18" s="1"/>
  <c r="X123" i="18"/>
  <c r="AI123" i="18" s="1"/>
  <c r="X249" i="18"/>
  <c r="AI249" i="18" s="1"/>
  <c r="X177" i="18"/>
  <c r="AI177" i="18" s="1"/>
  <c r="X303" i="18"/>
  <c r="AI303" i="18" s="1"/>
  <c r="X105" i="18"/>
  <c r="AI105" i="18" s="1"/>
  <c r="X141" i="18"/>
  <c r="AI141" i="18" s="1"/>
  <c r="X159" i="18"/>
  <c r="AI159" i="18" s="1"/>
  <c r="X285" i="18"/>
  <c r="AI285" i="18" s="1"/>
  <c r="X195" i="18"/>
  <c r="AI195" i="18" s="1"/>
  <c r="X231" i="18"/>
  <c r="AI231" i="18" s="1"/>
  <c r="X267" i="18"/>
  <c r="AI267" i="18" s="1"/>
  <c r="X339" i="18"/>
  <c r="AI339" i="18" s="1"/>
  <c r="X51" i="18"/>
  <c r="T15" i="18"/>
  <c r="F7" i="13" s="1"/>
  <c r="X33" i="18"/>
  <c r="U15" i="18"/>
  <c r="F25" i="13" s="1"/>
  <c r="T243" i="18"/>
  <c r="R18" i="13" s="1"/>
  <c r="U243" i="18"/>
  <c r="R36" i="13" s="1"/>
  <c r="U168" i="18"/>
  <c r="N33" i="13" s="1"/>
  <c r="T168" i="18"/>
  <c r="N15" i="13" s="1"/>
  <c r="T70" i="18"/>
  <c r="I8" i="13" s="1"/>
  <c r="U70" i="18"/>
  <c r="I26" i="13" s="1"/>
  <c r="U101" i="18"/>
  <c r="J38" i="13" s="1"/>
  <c r="T101" i="18"/>
  <c r="J20" i="13" s="1"/>
  <c r="T201" i="18"/>
  <c r="P13" i="13" s="1"/>
  <c r="U201" i="18"/>
  <c r="Z172" i="18"/>
  <c r="AK172" i="18" s="1"/>
  <c r="Z334" i="18"/>
  <c r="AK334" i="18" s="1"/>
  <c r="Z208" i="18"/>
  <c r="AK208" i="18" s="1"/>
  <c r="Z118" i="18"/>
  <c r="AK118" i="18" s="1"/>
  <c r="Z244" i="18"/>
  <c r="AK244" i="18" s="1"/>
  <c r="Z82" i="18"/>
  <c r="AK82" i="18" s="1"/>
  <c r="Z262" i="18"/>
  <c r="AK262" i="18" s="1"/>
  <c r="Z316" i="18"/>
  <c r="AK316" i="18" s="1"/>
  <c r="Z280" i="18"/>
  <c r="AK280" i="18" s="1"/>
  <c r="Z46" i="18"/>
  <c r="AK46" i="18" s="1"/>
  <c r="Z100" i="18"/>
  <c r="AK100" i="18" s="1"/>
  <c r="Z154" i="18"/>
  <c r="AK154" i="18" s="1"/>
  <c r="Z352" i="18"/>
  <c r="AK352" i="18" s="1"/>
  <c r="Z64" i="18"/>
  <c r="AK64" i="18" s="1"/>
  <c r="Z136" i="18"/>
  <c r="AK136" i="18" s="1"/>
  <c r="Z190" i="18"/>
  <c r="AK190" i="18" s="1"/>
  <c r="Z226" i="18"/>
  <c r="AK226" i="18" s="1"/>
  <c r="Z298" i="18"/>
  <c r="AK298" i="18" s="1"/>
  <c r="U188" i="18"/>
  <c r="O35" i="13" s="1"/>
  <c r="T188" i="18"/>
  <c r="O17" i="13" s="1"/>
  <c r="U297" i="18"/>
  <c r="U36" i="13" s="1"/>
  <c r="T297" i="18"/>
  <c r="U18" i="13" s="1"/>
  <c r="Z86" i="18"/>
  <c r="AK86" i="18" s="1"/>
  <c r="Z284" i="18"/>
  <c r="AK284" i="18" s="1"/>
  <c r="Z104" i="18"/>
  <c r="AK104" i="18" s="1"/>
  <c r="Z176" i="18"/>
  <c r="AK176" i="18" s="1"/>
  <c r="Z140" i="18"/>
  <c r="AK140" i="18" s="1"/>
  <c r="Z338" i="18"/>
  <c r="AK338" i="18" s="1"/>
  <c r="Z248" i="18"/>
  <c r="AK248" i="18" s="1"/>
  <c r="Z194" i="18"/>
  <c r="AK194" i="18" s="1"/>
  <c r="Z302" i="18"/>
  <c r="AK302" i="18" s="1"/>
  <c r="Z158" i="18"/>
  <c r="AK158" i="18" s="1"/>
  <c r="Z320" i="18"/>
  <c r="AK320" i="18" s="1"/>
  <c r="Z230" i="18"/>
  <c r="AK230" i="18" s="1"/>
  <c r="Z68" i="18"/>
  <c r="AK68" i="18" s="1"/>
  <c r="Z122" i="18"/>
  <c r="AK122" i="18" s="1"/>
  <c r="Z32" i="18"/>
  <c r="AK32" i="18" s="1"/>
  <c r="Z212" i="18"/>
  <c r="AK212" i="18" s="1"/>
  <c r="Z50" i="18"/>
  <c r="AK50" i="18" s="1"/>
  <c r="Z266" i="18"/>
  <c r="AK266" i="18" s="1"/>
  <c r="AB257" i="18"/>
  <c r="AM257" i="18" s="1"/>
  <c r="AB293" i="18"/>
  <c r="AM293" i="18" s="1"/>
  <c r="AB275" i="18"/>
  <c r="AM275" i="18" s="1"/>
  <c r="AB167" i="18"/>
  <c r="AM167" i="18" s="1"/>
  <c r="AB221" i="18"/>
  <c r="AM221" i="18" s="1"/>
  <c r="AB95" i="18"/>
  <c r="AM95" i="18" s="1"/>
  <c r="AB131" i="18"/>
  <c r="AM131" i="18" s="1"/>
  <c r="AB329" i="18"/>
  <c r="AM329" i="18" s="1"/>
  <c r="AB185" i="18"/>
  <c r="AM185" i="18" s="1"/>
  <c r="AB149" i="18"/>
  <c r="AM149" i="18" s="1"/>
  <c r="AB113" i="18"/>
  <c r="AM113" i="18" s="1"/>
  <c r="AB347" i="18"/>
  <c r="AM347" i="18" s="1"/>
  <c r="AB41" i="18"/>
  <c r="AM41" i="18" s="1"/>
  <c r="AB311" i="18"/>
  <c r="AM311" i="18" s="1"/>
  <c r="AB59" i="18"/>
  <c r="AM59" i="18" s="1"/>
  <c r="AB239" i="18"/>
  <c r="AM239" i="18" s="1"/>
  <c r="AB203" i="18"/>
  <c r="AM203" i="18" s="1"/>
  <c r="AB77" i="18"/>
  <c r="AM77" i="18" s="1"/>
  <c r="U86" i="18"/>
  <c r="J24" i="13" s="1"/>
  <c r="T86" i="18"/>
  <c r="J6" i="13" s="1"/>
  <c r="U158" i="18"/>
  <c r="N24" i="13" s="1"/>
  <c r="T158" i="18"/>
  <c r="N6" i="13" s="1"/>
  <c r="T44" i="18"/>
  <c r="G17" i="13" s="1"/>
  <c r="U44" i="18"/>
  <c r="G35" i="13" s="1"/>
  <c r="Y299" i="18"/>
  <c r="AJ299" i="18" s="1"/>
  <c r="Y119" i="18"/>
  <c r="AJ119" i="18" s="1"/>
  <c r="Y317" i="18"/>
  <c r="AJ317" i="18" s="1"/>
  <c r="Y191" i="18"/>
  <c r="AJ191" i="18" s="1"/>
  <c r="Y245" i="18"/>
  <c r="AJ245" i="18" s="1"/>
  <c r="Y65" i="18"/>
  <c r="AJ65" i="18" s="1"/>
  <c r="Y47" i="18"/>
  <c r="AJ47" i="18" s="1"/>
  <c r="Y263" i="18"/>
  <c r="AJ263" i="18" s="1"/>
  <c r="Y173" i="18"/>
  <c r="AJ173" i="18" s="1"/>
  <c r="Y281" i="18"/>
  <c r="AJ281" i="18" s="1"/>
  <c r="Y137" i="18"/>
  <c r="AJ137" i="18" s="1"/>
  <c r="Y335" i="18"/>
  <c r="AJ335" i="18" s="1"/>
  <c r="Y353" i="18"/>
  <c r="AJ353" i="18" s="1"/>
  <c r="Y209" i="18"/>
  <c r="AJ209" i="18" s="1"/>
  <c r="Y101" i="18"/>
  <c r="AJ101" i="18" s="1"/>
  <c r="Y155" i="18"/>
  <c r="AJ155" i="18" s="1"/>
  <c r="Y83" i="18"/>
  <c r="AJ83" i="18" s="1"/>
  <c r="Y227" i="18"/>
  <c r="AJ227" i="18" s="1"/>
  <c r="T61" i="18"/>
  <c r="H16" i="13" s="1"/>
  <c r="U61" i="18"/>
  <c r="H34" i="13" s="1"/>
  <c r="U169" i="18"/>
  <c r="N34" i="13" s="1"/>
  <c r="T169" i="18"/>
  <c r="N16" i="13" s="1"/>
  <c r="U216" i="18"/>
  <c r="Q28" i="13" s="1"/>
  <c r="T216" i="18"/>
  <c r="Q10" i="13" s="1"/>
  <c r="T131" i="18"/>
  <c r="L14" i="13" s="1"/>
  <c r="U131" i="18"/>
  <c r="L32" i="13" s="1"/>
  <c r="U264" i="18"/>
  <c r="S39" i="13" s="1"/>
  <c r="T264" i="18"/>
  <c r="S21" i="13" s="1"/>
  <c r="AB177" i="18"/>
  <c r="AM177" i="18" s="1"/>
  <c r="AB285" i="18"/>
  <c r="AM285" i="18" s="1"/>
  <c r="AB33" i="18"/>
  <c r="AM33" i="18" s="1"/>
  <c r="AB195" i="18"/>
  <c r="AM195" i="18" s="1"/>
  <c r="AB303" i="18"/>
  <c r="AM303" i="18" s="1"/>
  <c r="AB69" i="18"/>
  <c r="AM69" i="18" s="1"/>
  <c r="AB339" i="18"/>
  <c r="AM339" i="18" s="1"/>
  <c r="AB141" i="18"/>
  <c r="AM141" i="18" s="1"/>
  <c r="AB249" i="18"/>
  <c r="AM249" i="18" s="1"/>
  <c r="AB267" i="18"/>
  <c r="AM267" i="18" s="1"/>
  <c r="AB213" i="18"/>
  <c r="AM213" i="18" s="1"/>
  <c r="AB231" i="18"/>
  <c r="AM231" i="18" s="1"/>
  <c r="AB321" i="18"/>
  <c r="AM321" i="18" s="1"/>
  <c r="AB87" i="18"/>
  <c r="AM87" i="18" s="1"/>
  <c r="AB51" i="18"/>
  <c r="AM51" i="18" s="1"/>
  <c r="AB105" i="18"/>
  <c r="AM105" i="18" s="1"/>
  <c r="AB123" i="18"/>
  <c r="AM123" i="18" s="1"/>
  <c r="AB159" i="18"/>
  <c r="AM159" i="18" s="1"/>
  <c r="T123" i="18"/>
  <c r="L7" i="13" s="1"/>
  <c r="U123" i="18"/>
  <c r="L25" i="13" s="1"/>
  <c r="U91" i="18"/>
  <c r="T91" i="18"/>
  <c r="J11" i="13" s="1"/>
  <c r="T165" i="18"/>
  <c r="N13" i="13" s="1"/>
  <c r="U165" i="18"/>
  <c r="U311" i="18"/>
  <c r="V32" i="13" s="1"/>
  <c r="T311" i="18"/>
  <c r="V14" i="13" s="1"/>
  <c r="Z62" i="18"/>
  <c r="AK62" i="18" s="1"/>
  <c r="Z242" i="18"/>
  <c r="AK242" i="18" s="1"/>
  <c r="Z314" i="18"/>
  <c r="AK314" i="18" s="1"/>
  <c r="Z116" i="18"/>
  <c r="AK116" i="18" s="1"/>
  <c r="Z260" i="18"/>
  <c r="AK260" i="18" s="1"/>
  <c r="Z98" i="18"/>
  <c r="AK98" i="18" s="1"/>
  <c r="Z296" i="18"/>
  <c r="AK296" i="18" s="1"/>
  <c r="Z206" i="18"/>
  <c r="AK206" i="18" s="1"/>
  <c r="Z332" i="18"/>
  <c r="AK332" i="18" s="1"/>
  <c r="Z80" i="18"/>
  <c r="AK80" i="18" s="1"/>
  <c r="Z152" i="18"/>
  <c r="AK152" i="18" s="1"/>
  <c r="Z134" i="18"/>
  <c r="AK134" i="18" s="1"/>
  <c r="Z188" i="18"/>
  <c r="AK188" i="18" s="1"/>
  <c r="Z224" i="18"/>
  <c r="AK224" i="18" s="1"/>
  <c r="Z278" i="18"/>
  <c r="AK278" i="18" s="1"/>
  <c r="Z350" i="18"/>
  <c r="AK350" i="18" s="1"/>
  <c r="Z170" i="18"/>
  <c r="AK170" i="18" s="1"/>
  <c r="Z44" i="18"/>
  <c r="AK44" i="18" s="1"/>
  <c r="Y163" i="18"/>
  <c r="AJ163" i="18" s="1"/>
  <c r="Y271" i="18"/>
  <c r="AJ271" i="18" s="1"/>
  <c r="Y181" i="18"/>
  <c r="AJ181" i="18" s="1"/>
  <c r="Y289" i="18"/>
  <c r="AJ289" i="18" s="1"/>
  <c r="Y73" i="18"/>
  <c r="AJ73" i="18" s="1"/>
  <c r="Y307" i="18"/>
  <c r="AJ307" i="18" s="1"/>
  <c r="Y127" i="18"/>
  <c r="AJ127" i="18" s="1"/>
  <c r="Y235" i="18"/>
  <c r="AJ235" i="18" s="1"/>
  <c r="Y55" i="18"/>
  <c r="AJ55" i="18" s="1"/>
  <c r="Y325" i="18"/>
  <c r="AJ325" i="18" s="1"/>
  <c r="Y91" i="18"/>
  <c r="AJ91" i="18" s="1"/>
  <c r="Y109" i="18"/>
  <c r="AJ109" i="18" s="1"/>
  <c r="Y217" i="18"/>
  <c r="AJ217" i="18" s="1"/>
  <c r="Y145" i="18"/>
  <c r="AJ145" i="18" s="1"/>
  <c r="Y199" i="18"/>
  <c r="AJ199" i="18" s="1"/>
  <c r="Y343" i="18"/>
  <c r="AJ343" i="18" s="1"/>
  <c r="Y253" i="18"/>
  <c r="AJ253" i="18" s="1"/>
  <c r="Y37" i="18"/>
  <c r="AJ37" i="18" s="1"/>
  <c r="Z285" i="18"/>
  <c r="AK285" i="18" s="1"/>
  <c r="Z303" i="18"/>
  <c r="AK303" i="18" s="1"/>
  <c r="Z69" i="18"/>
  <c r="AK69" i="18" s="1"/>
  <c r="Z195" i="18"/>
  <c r="AK195" i="18" s="1"/>
  <c r="Z105" i="18"/>
  <c r="AK105" i="18" s="1"/>
  <c r="Z141" i="18"/>
  <c r="AK141" i="18" s="1"/>
  <c r="Z249" i="18"/>
  <c r="AK249" i="18" s="1"/>
  <c r="Z339" i="18"/>
  <c r="AK339" i="18" s="1"/>
  <c r="Z159" i="18"/>
  <c r="AK159" i="18" s="1"/>
  <c r="Z213" i="18"/>
  <c r="AK213" i="18" s="1"/>
  <c r="Z231" i="18"/>
  <c r="AK231" i="18" s="1"/>
  <c r="Z267" i="18"/>
  <c r="AK267" i="18" s="1"/>
  <c r="Z33" i="18"/>
  <c r="AK33" i="18" s="1"/>
  <c r="Z51" i="18"/>
  <c r="AK51" i="18" s="1"/>
  <c r="Z123" i="18"/>
  <c r="AK123" i="18" s="1"/>
  <c r="Z321" i="18"/>
  <c r="AK321" i="18" s="1"/>
  <c r="Z87" i="18"/>
  <c r="AK87" i="18" s="1"/>
  <c r="Z177" i="18"/>
  <c r="AK177" i="18" s="1"/>
  <c r="U106" i="18"/>
  <c r="K26" i="13" s="1"/>
  <c r="T106" i="18"/>
  <c r="K8" i="13" s="1"/>
  <c r="U41" i="18"/>
  <c r="G32" i="13" s="1"/>
  <c r="T41" i="18"/>
  <c r="G14" i="13" s="1"/>
  <c r="U233" i="18"/>
  <c r="T233" i="18"/>
  <c r="R9" i="13" s="1"/>
  <c r="T343" i="18"/>
  <c r="X11" i="13" s="1"/>
  <c r="U343" i="18"/>
  <c r="U250" i="18"/>
  <c r="S26" i="13" s="1"/>
  <c r="T250" i="18"/>
  <c r="S8" i="13" s="1"/>
  <c r="X270" i="18"/>
  <c r="AI270" i="18" s="1"/>
  <c r="X90" i="18"/>
  <c r="X288" i="18"/>
  <c r="AI288" i="18" s="1"/>
  <c r="X108" i="18"/>
  <c r="AI108" i="18" s="1"/>
  <c r="X324" i="18"/>
  <c r="AI324" i="18" s="1"/>
  <c r="X234" i="18"/>
  <c r="AI234" i="18" s="1"/>
  <c r="X144" i="18"/>
  <c r="AI144" i="18" s="1"/>
  <c r="X126" i="18"/>
  <c r="AI126" i="18" s="1"/>
  <c r="X198" i="18"/>
  <c r="AI198" i="18" s="1"/>
  <c r="X216" i="18"/>
  <c r="AI216" i="18" s="1"/>
  <c r="X72" i="18"/>
  <c r="X162" i="18"/>
  <c r="AI162" i="18" s="1"/>
  <c r="X180" i="18"/>
  <c r="AI180" i="18" s="1"/>
  <c r="U18" i="18"/>
  <c r="F28" i="13" s="1"/>
  <c r="T18" i="18"/>
  <c r="F10" i="13" s="1"/>
  <c r="X252" i="18"/>
  <c r="AI252" i="18" s="1"/>
  <c r="X306" i="18"/>
  <c r="AI306" i="18" s="1"/>
  <c r="X342" i="18"/>
  <c r="AI342" i="18" s="1"/>
  <c r="X36" i="18"/>
  <c r="U104" i="18"/>
  <c r="K24" i="13" s="1"/>
  <c r="T104" i="18"/>
  <c r="K6" i="13" s="1"/>
  <c r="AB78" i="18"/>
  <c r="AM78" i="18" s="1"/>
  <c r="AB312" i="18"/>
  <c r="AM312" i="18" s="1"/>
  <c r="AB96" i="18"/>
  <c r="AM96" i="18" s="1"/>
  <c r="AB240" i="18"/>
  <c r="AM240" i="18" s="1"/>
  <c r="AB132" i="18"/>
  <c r="AM132" i="18" s="1"/>
  <c r="AB348" i="18"/>
  <c r="AM348" i="18" s="1"/>
  <c r="AB186" i="18"/>
  <c r="AM186" i="18" s="1"/>
  <c r="AB330" i="18"/>
  <c r="AM330" i="18" s="1"/>
  <c r="AB114" i="18"/>
  <c r="AM114" i="18" s="1"/>
  <c r="AB150" i="18"/>
  <c r="AM150" i="18" s="1"/>
  <c r="AB168" i="18"/>
  <c r="AM168" i="18" s="1"/>
  <c r="AB222" i="18"/>
  <c r="AM222" i="18" s="1"/>
  <c r="AB60" i="18"/>
  <c r="AM60" i="18" s="1"/>
  <c r="AB204" i="18"/>
  <c r="AM204" i="18" s="1"/>
  <c r="AB258" i="18"/>
  <c r="AM258" i="18" s="1"/>
  <c r="AB294" i="18"/>
  <c r="AM294" i="18" s="1"/>
  <c r="AB276" i="18"/>
  <c r="AM276" i="18" s="1"/>
  <c r="AB42" i="18"/>
  <c r="AM42" i="18" s="1"/>
  <c r="U325" i="18"/>
  <c r="T325" i="18"/>
  <c r="W11" i="13" s="1"/>
  <c r="U262" i="18"/>
  <c r="S37" i="13" s="1"/>
  <c r="T262" i="18"/>
  <c r="S19" i="13" s="1"/>
  <c r="T196" i="18"/>
  <c r="P8" i="13" s="1"/>
  <c r="U196" i="18"/>
  <c r="P26" i="13" s="1"/>
  <c r="U97" i="18"/>
  <c r="J34" i="13" s="1"/>
  <c r="T97" i="18"/>
  <c r="J16" i="13" s="1"/>
  <c r="Z221" i="18"/>
  <c r="AK221" i="18" s="1"/>
  <c r="Z293" i="18"/>
  <c r="AK293" i="18" s="1"/>
  <c r="Z95" i="18"/>
  <c r="AK95" i="18" s="1"/>
  <c r="Z203" i="18"/>
  <c r="AK203" i="18" s="1"/>
  <c r="Z113" i="18"/>
  <c r="AK113" i="18" s="1"/>
  <c r="Z311" i="18"/>
  <c r="AK311" i="18" s="1"/>
  <c r="Z131" i="18"/>
  <c r="AK131" i="18" s="1"/>
  <c r="Z185" i="18"/>
  <c r="AK185" i="18" s="1"/>
  <c r="Z149" i="18"/>
  <c r="AK149" i="18" s="1"/>
  <c r="Z347" i="18"/>
  <c r="AK347" i="18" s="1"/>
  <c r="Z167" i="18"/>
  <c r="AK167" i="18" s="1"/>
  <c r="Z239" i="18"/>
  <c r="AK239" i="18" s="1"/>
  <c r="Z41" i="18"/>
  <c r="AK41" i="18" s="1"/>
  <c r="Z275" i="18"/>
  <c r="AK275" i="18" s="1"/>
  <c r="Z59" i="18"/>
  <c r="AK59" i="18" s="1"/>
  <c r="Z77" i="18"/>
  <c r="AK77" i="18" s="1"/>
  <c r="Z257" i="18"/>
  <c r="AK257" i="18" s="1"/>
  <c r="Z329" i="18"/>
  <c r="AK329" i="18" s="1"/>
  <c r="T92" i="18"/>
  <c r="J12" i="13" s="1"/>
  <c r="U92" i="18"/>
  <c r="AC194" i="18"/>
  <c r="AN194" i="18" s="1"/>
  <c r="AC338" i="18"/>
  <c r="AN338" i="18" s="1"/>
  <c r="AC212" i="18"/>
  <c r="AN212" i="18" s="1"/>
  <c r="AC320" i="18"/>
  <c r="AN320" i="18" s="1"/>
  <c r="AC104" i="18"/>
  <c r="AN104" i="18" s="1"/>
  <c r="AC230" i="18"/>
  <c r="AN230" i="18" s="1"/>
  <c r="AC86" i="18"/>
  <c r="AN86" i="18" s="1"/>
  <c r="AC176" i="18"/>
  <c r="AN176" i="18" s="1"/>
  <c r="AC248" i="18"/>
  <c r="AN248" i="18" s="1"/>
  <c r="AC266" i="18"/>
  <c r="AN266" i="18" s="1"/>
  <c r="AC284" i="18"/>
  <c r="AN284" i="18" s="1"/>
  <c r="AC302" i="18"/>
  <c r="AN302" i="18" s="1"/>
  <c r="AC68" i="18"/>
  <c r="AN68" i="18" s="1"/>
  <c r="AC32" i="18"/>
  <c r="AN32" i="18" s="1"/>
  <c r="AC158" i="18"/>
  <c r="AN158" i="18" s="1"/>
  <c r="AC140" i="18"/>
  <c r="AN140" i="18" s="1"/>
  <c r="AC50" i="18"/>
  <c r="AN50" i="18" s="1"/>
  <c r="AC122" i="18"/>
  <c r="AN122" i="18" s="1"/>
  <c r="U333" i="18"/>
  <c r="W36" i="13" s="1"/>
  <c r="T333" i="18"/>
  <c r="W18" i="13" s="1"/>
  <c r="U117" i="18"/>
  <c r="K36" i="13" s="1"/>
  <c r="T117" i="18"/>
  <c r="K18" i="13" s="1"/>
  <c r="U35" i="18"/>
  <c r="T35" i="18"/>
  <c r="G9" i="13" s="1"/>
  <c r="AA177" i="18"/>
  <c r="AL177" i="18" s="1"/>
  <c r="AA303" i="18"/>
  <c r="AL303" i="18" s="1"/>
  <c r="AA195" i="18"/>
  <c r="AL195" i="18" s="1"/>
  <c r="AA321" i="18"/>
  <c r="AL321" i="18" s="1"/>
  <c r="AA33" i="18"/>
  <c r="AL33" i="18" s="1"/>
  <c r="AA69" i="18"/>
  <c r="AL69" i="18" s="1"/>
  <c r="AA213" i="18"/>
  <c r="AL213" i="18" s="1"/>
  <c r="AA51" i="18"/>
  <c r="AL51" i="18" s="1"/>
  <c r="AA87" i="18"/>
  <c r="AL87" i="18" s="1"/>
  <c r="AA231" i="18"/>
  <c r="AL231" i="18" s="1"/>
  <c r="AA249" i="18"/>
  <c r="AL249" i="18" s="1"/>
  <c r="AA123" i="18"/>
  <c r="AL123" i="18" s="1"/>
  <c r="AA267" i="18"/>
  <c r="AL267" i="18" s="1"/>
  <c r="AA105" i="18"/>
  <c r="AL105" i="18" s="1"/>
  <c r="AA285" i="18"/>
  <c r="AL285" i="18" s="1"/>
  <c r="AA339" i="18"/>
  <c r="AL339" i="18" s="1"/>
  <c r="AA141" i="18"/>
  <c r="AL141" i="18" s="1"/>
  <c r="AA159" i="18"/>
  <c r="AL159" i="18" s="1"/>
  <c r="T110" i="18"/>
  <c r="K12" i="13" s="1"/>
  <c r="U110" i="18"/>
  <c r="T199" i="18"/>
  <c r="P11" i="13" s="1"/>
  <c r="U199" i="18"/>
  <c r="U302" i="18"/>
  <c r="V24" i="13" s="1"/>
  <c r="T302" i="18"/>
  <c r="V6" i="13" s="1"/>
  <c r="T143" i="18"/>
  <c r="M9" i="13" s="1"/>
  <c r="U143" i="18"/>
  <c r="U232" i="18"/>
  <c r="R26" i="13" s="1"/>
  <c r="T232" i="18"/>
  <c r="R8" i="13" s="1"/>
  <c r="T315" i="18"/>
  <c r="V18" i="13" s="1"/>
  <c r="U315" i="18"/>
  <c r="V36" i="13" s="1"/>
  <c r="U338" i="18"/>
  <c r="X24" i="13" s="1"/>
  <c r="T338" i="18"/>
  <c r="X6" i="13" s="1"/>
  <c r="U116" i="18"/>
  <c r="K35" i="13" s="1"/>
  <c r="T116" i="18"/>
  <c r="K17" i="13" s="1"/>
  <c r="U354" i="18"/>
  <c r="X39" i="13" s="1"/>
  <c r="T354" i="18"/>
  <c r="X21" i="13" s="1"/>
  <c r="U252" i="18"/>
  <c r="T252" i="18"/>
  <c r="S10" i="13" s="1"/>
  <c r="T237" i="18"/>
  <c r="R13" i="13" s="1"/>
  <c r="U237" i="18"/>
  <c r="U153" i="18"/>
  <c r="M36" i="13" s="1"/>
  <c r="T153" i="18"/>
  <c r="M18" i="13" s="1"/>
  <c r="Y129" i="18"/>
  <c r="AJ129" i="18" s="1"/>
  <c r="Y219" i="18"/>
  <c r="AJ219" i="18" s="1"/>
  <c r="Y147" i="18"/>
  <c r="AJ147" i="18" s="1"/>
  <c r="Y255" i="18"/>
  <c r="AJ255" i="18" s="1"/>
  <c r="Y183" i="18"/>
  <c r="AJ183" i="18" s="1"/>
  <c r="Y237" i="18"/>
  <c r="AJ237" i="18" s="1"/>
  <c r="Y93" i="18"/>
  <c r="AJ93" i="18" s="1"/>
  <c r="Y291" i="18"/>
  <c r="AJ291" i="18" s="1"/>
  <c r="Y165" i="18"/>
  <c r="AJ165" i="18" s="1"/>
  <c r="Y201" i="18"/>
  <c r="AJ201" i="18" s="1"/>
  <c r="Y345" i="18"/>
  <c r="AJ345" i="18" s="1"/>
  <c r="Y75" i="18"/>
  <c r="AJ75" i="18" s="1"/>
  <c r="Y327" i="18"/>
  <c r="AJ327" i="18" s="1"/>
  <c r="Y273" i="18"/>
  <c r="AJ273" i="18" s="1"/>
  <c r="Y309" i="18"/>
  <c r="AJ309" i="18" s="1"/>
  <c r="Y39" i="18"/>
  <c r="AJ39" i="18" s="1"/>
  <c r="Y111" i="18"/>
  <c r="AJ111" i="18" s="1"/>
  <c r="Y57" i="18"/>
  <c r="AJ57" i="18" s="1"/>
  <c r="AA108" i="18"/>
  <c r="AL108" i="18" s="1"/>
  <c r="AA234" i="18"/>
  <c r="AL234" i="18" s="1"/>
  <c r="AA144" i="18"/>
  <c r="AL144" i="18" s="1"/>
  <c r="AA315" i="18"/>
  <c r="AL315" i="18" s="1"/>
  <c r="AA306" i="18"/>
  <c r="AL306" i="18" s="1"/>
  <c r="AA135" i="18"/>
  <c r="AL135" i="18" s="1"/>
  <c r="AA243" i="18"/>
  <c r="AL243" i="18" s="1"/>
  <c r="AA162" i="18"/>
  <c r="AL162" i="18" s="1"/>
  <c r="AA351" i="18"/>
  <c r="AL351" i="18" s="1"/>
  <c r="AA90" i="18"/>
  <c r="AL90" i="18" s="1"/>
  <c r="AA225" i="18"/>
  <c r="AL225" i="18" s="1"/>
  <c r="AA99" i="18"/>
  <c r="AL99" i="18" s="1"/>
  <c r="AA72" i="18"/>
  <c r="AL72" i="18" s="1"/>
  <c r="AA252" i="18"/>
  <c r="AL252" i="18" s="1"/>
  <c r="AA126" i="18"/>
  <c r="AL126" i="18" s="1"/>
  <c r="AA333" i="18"/>
  <c r="AL333" i="18" s="1"/>
  <c r="AA36" i="18"/>
  <c r="AL36" i="18" s="1"/>
  <c r="AA261" i="18"/>
  <c r="AL261" i="18" s="1"/>
  <c r="AA153" i="18"/>
  <c r="AL153" i="18" s="1"/>
  <c r="AA81" i="18"/>
  <c r="AL81" i="18" s="1"/>
  <c r="AA45" i="18"/>
  <c r="AL45" i="18" s="1"/>
  <c r="AA171" i="18"/>
  <c r="AL171" i="18" s="1"/>
  <c r="AA270" i="18"/>
  <c r="AL270" i="18" s="1"/>
  <c r="AA180" i="18"/>
  <c r="AL180" i="18" s="1"/>
  <c r="AA279" i="18"/>
  <c r="AL279" i="18" s="1"/>
  <c r="AA54" i="18"/>
  <c r="AL54" i="18" s="1"/>
  <c r="AA297" i="18"/>
  <c r="AL297" i="18" s="1"/>
  <c r="AA288" i="18"/>
  <c r="AL288" i="18" s="1"/>
  <c r="AA342" i="18"/>
  <c r="AL342" i="18" s="1"/>
  <c r="AA216" i="18"/>
  <c r="AL216" i="18" s="1"/>
  <c r="AA117" i="18"/>
  <c r="AL117" i="18" s="1"/>
  <c r="AA63" i="18"/>
  <c r="AL63" i="18" s="1"/>
  <c r="AA189" i="18"/>
  <c r="AL189" i="18" s="1"/>
  <c r="AA198" i="18"/>
  <c r="AL198" i="18" s="1"/>
  <c r="AA207" i="18"/>
  <c r="AL207" i="18" s="1"/>
  <c r="AA324" i="18"/>
  <c r="AL324" i="18" s="1"/>
  <c r="U74" i="18"/>
  <c r="T74" i="18"/>
  <c r="I12" i="13" s="1"/>
  <c r="Y100" i="18"/>
  <c r="AJ100" i="18" s="1"/>
  <c r="Y208" i="18"/>
  <c r="AJ208" i="18" s="1"/>
  <c r="Y118" i="18"/>
  <c r="AJ118" i="18" s="1"/>
  <c r="Y226" i="18"/>
  <c r="AJ226" i="18" s="1"/>
  <c r="Y64" i="18"/>
  <c r="AJ64" i="18" s="1"/>
  <c r="Y334" i="18"/>
  <c r="AJ334" i="18" s="1"/>
  <c r="Y316" i="18"/>
  <c r="AJ316" i="18" s="1"/>
  <c r="Y244" i="18"/>
  <c r="AJ244" i="18" s="1"/>
  <c r="Y262" i="18"/>
  <c r="AJ262" i="18" s="1"/>
  <c r="Y82" i="18"/>
  <c r="AJ82" i="18" s="1"/>
  <c r="Y280" i="18"/>
  <c r="AJ280" i="18" s="1"/>
  <c r="Y298" i="18"/>
  <c r="AJ298" i="18" s="1"/>
  <c r="Y46" i="18"/>
  <c r="AJ46" i="18" s="1"/>
  <c r="Y352" i="18"/>
  <c r="AJ352" i="18" s="1"/>
  <c r="Y154" i="18"/>
  <c r="AJ154" i="18" s="1"/>
  <c r="Y190" i="18"/>
  <c r="AJ190" i="18" s="1"/>
  <c r="Y136" i="18"/>
  <c r="AJ136" i="18" s="1"/>
  <c r="Y172" i="18"/>
  <c r="AJ172" i="18" s="1"/>
  <c r="U105" i="18"/>
  <c r="K25" i="13" s="1"/>
  <c r="T105" i="18"/>
  <c r="K7" i="13" s="1"/>
  <c r="T133" i="18"/>
  <c r="L16" i="13" s="1"/>
  <c r="U133" i="18"/>
  <c r="L34" i="13" s="1"/>
  <c r="U242" i="18"/>
  <c r="R35" i="13" s="1"/>
  <c r="T242" i="18"/>
  <c r="R17" i="13" s="1"/>
  <c r="X179" i="18"/>
  <c r="AI179" i="18" s="1"/>
  <c r="X215" i="18"/>
  <c r="AI215" i="18" s="1"/>
  <c r="X71" i="18"/>
  <c r="X269" i="18"/>
  <c r="AI269" i="18" s="1"/>
  <c r="X89" i="18"/>
  <c r="X251" i="18"/>
  <c r="AI251" i="18" s="1"/>
  <c r="X107" i="18"/>
  <c r="AI107" i="18" s="1"/>
  <c r="X341" i="18"/>
  <c r="AI341" i="18" s="1"/>
  <c r="U17" i="18"/>
  <c r="F27" i="13" s="1"/>
  <c r="X125" i="18"/>
  <c r="AI125" i="18" s="1"/>
  <c r="X233" i="18"/>
  <c r="AI233" i="18" s="1"/>
  <c r="X35" i="18"/>
  <c r="T17" i="18"/>
  <c r="F9" i="13" s="1"/>
  <c r="X287" i="18"/>
  <c r="AI287" i="18" s="1"/>
  <c r="X323" i="18"/>
  <c r="AI323" i="18" s="1"/>
  <c r="X53" i="18"/>
  <c r="X161" i="18"/>
  <c r="AI161" i="18" s="1"/>
  <c r="X197" i="18"/>
  <c r="AI197" i="18" s="1"/>
  <c r="X143" i="18"/>
  <c r="AI143" i="18" s="1"/>
  <c r="X305" i="18"/>
  <c r="AI305" i="18" s="1"/>
  <c r="AC116" i="18"/>
  <c r="AN116" i="18" s="1"/>
  <c r="AC350" i="18"/>
  <c r="AN350" i="18" s="1"/>
  <c r="AC170" i="18"/>
  <c r="AN170" i="18" s="1"/>
  <c r="AC134" i="18"/>
  <c r="AN134" i="18" s="1"/>
  <c r="AC62" i="18"/>
  <c r="AN62" i="18" s="1"/>
  <c r="AC296" i="18"/>
  <c r="AN296" i="18" s="1"/>
  <c r="AC80" i="18"/>
  <c r="AN80" i="18" s="1"/>
  <c r="AC332" i="18"/>
  <c r="AN332" i="18" s="1"/>
  <c r="AC188" i="18"/>
  <c r="AN188" i="18" s="1"/>
  <c r="AC98" i="18"/>
  <c r="AN98" i="18" s="1"/>
  <c r="AC206" i="18"/>
  <c r="AN206" i="18" s="1"/>
  <c r="AC152" i="18"/>
  <c r="AN152" i="18" s="1"/>
  <c r="AC314" i="18"/>
  <c r="AN314" i="18" s="1"/>
  <c r="AC242" i="18"/>
  <c r="AN242" i="18" s="1"/>
  <c r="AC260" i="18"/>
  <c r="AN260" i="18" s="1"/>
  <c r="AC224" i="18"/>
  <c r="AN224" i="18" s="1"/>
  <c r="AC44" i="18"/>
  <c r="AN44" i="18" s="1"/>
  <c r="AC278" i="18"/>
  <c r="AN278" i="18" s="1"/>
  <c r="U189" i="18"/>
  <c r="O36" i="13" s="1"/>
  <c r="T189" i="18"/>
  <c r="O18" i="13" s="1"/>
  <c r="U176" i="18"/>
  <c r="O24" i="13" s="1"/>
  <c r="T176" i="18"/>
  <c r="O6" i="13" s="1"/>
  <c r="U210" i="18"/>
  <c r="P39" i="13" s="1"/>
  <c r="T210" i="18"/>
  <c r="P21" i="13" s="1"/>
  <c r="U324" i="18"/>
  <c r="T324" i="18"/>
  <c r="W10" i="13" s="1"/>
  <c r="T134" i="18"/>
  <c r="L17" i="13" s="1"/>
  <c r="U134" i="18"/>
  <c r="L35" i="13" s="1"/>
  <c r="U140" i="18"/>
  <c r="M24" i="13" s="1"/>
  <c r="T140" i="18"/>
  <c r="M6" i="13" s="1"/>
  <c r="T344" i="18"/>
  <c r="X12" i="13" s="1"/>
  <c r="U344" i="18"/>
  <c r="X60" i="18"/>
  <c r="X204" i="18"/>
  <c r="AI204" i="18" s="1"/>
  <c r="X312" i="18"/>
  <c r="AI312" i="18" s="1"/>
  <c r="X78" i="18"/>
  <c r="X294" i="18"/>
  <c r="AI294" i="18" s="1"/>
  <c r="X96" i="18"/>
  <c r="AI96" i="18" s="1"/>
  <c r="X348" i="18"/>
  <c r="AI348" i="18" s="1"/>
  <c r="X168" i="18"/>
  <c r="AI168" i="18" s="1"/>
  <c r="X276" i="18"/>
  <c r="AI276" i="18" s="1"/>
  <c r="X114" i="18"/>
  <c r="AI114" i="18" s="1"/>
  <c r="X132" i="18"/>
  <c r="AI132" i="18" s="1"/>
  <c r="X150" i="18"/>
  <c r="AI150" i="18" s="1"/>
  <c r="U24" i="18"/>
  <c r="F33" i="13" s="1"/>
  <c r="X186" i="18"/>
  <c r="AI186" i="18" s="1"/>
  <c r="T24" i="18"/>
  <c r="F15" i="13" s="1"/>
  <c r="X222" i="18"/>
  <c r="AI222" i="18" s="1"/>
  <c r="X240" i="18"/>
  <c r="AI240" i="18" s="1"/>
  <c r="X258" i="18"/>
  <c r="AI258" i="18" s="1"/>
  <c r="X330" i="18"/>
  <c r="AI330" i="18" s="1"/>
  <c r="X42" i="18"/>
  <c r="U50" i="18"/>
  <c r="H24" i="13" s="1"/>
  <c r="T50" i="18"/>
  <c r="H6" i="13" s="1"/>
  <c r="T99" i="18"/>
  <c r="J18" i="13" s="1"/>
  <c r="U99" i="18"/>
  <c r="J36" i="13" s="1"/>
  <c r="T200" i="18"/>
  <c r="P12" i="13" s="1"/>
  <c r="U200" i="18"/>
  <c r="T178" i="18"/>
  <c r="O8" i="13" s="1"/>
  <c r="U178" i="18"/>
  <c r="O26" i="13" s="1"/>
  <c r="U80" i="18"/>
  <c r="I35" i="13" s="1"/>
  <c r="T80" i="18"/>
  <c r="I17" i="13" s="1"/>
  <c r="U288" i="18"/>
  <c r="T288" i="18"/>
  <c r="U10" i="13" s="1"/>
  <c r="Y243" i="18"/>
  <c r="AJ243" i="18" s="1"/>
  <c r="Y117" i="18"/>
  <c r="AJ117" i="18" s="1"/>
  <c r="Y261" i="18"/>
  <c r="AJ261" i="18" s="1"/>
  <c r="Y171" i="18"/>
  <c r="AJ171" i="18" s="1"/>
  <c r="Y207" i="18"/>
  <c r="AJ207" i="18" s="1"/>
  <c r="Y351" i="18"/>
  <c r="AJ351" i="18" s="1"/>
  <c r="Y63" i="18"/>
  <c r="AJ63" i="18" s="1"/>
  <c r="Y81" i="18"/>
  <c r="AJ81" i="18" s="1"/>
  <c r="Y225" i="18"/>
  <c r="AJ225" i="18" s="1"/>
  <c r="Y99" i="18"/>
  <c r="AJ99" i="18" s="1"/>
  <c r="Y45" i="18"/>
  <c r="AJ45" i="18" s="1"/>
  <c r="Y279" i="18"/>
  <c r="AJ279" i="18" s="1"/>
  <c r="Y153" i="18"/>
  <c r="AJ153" i="18" s="1"/>
  <c r="Y297" i="18"/>
  <c r="AJ297" i="18" s="1"/>
  <c r="Y315" i="18"/>
  <c r="AJ315" i="18" s="1"/>
  <c r="Y333" i="18"/>
  <c r="AJ333" i="18" s="1"/>
  <c r="Y189" i="18"/>
  <c r="AJ189" i="18" s="1"/>
  <c r="Y135" i="18"/>
  <c r="AJ135" i="18" s="1"/>
  <c r="AB227" i="18"/>
  <c r="AM227" i="18" s="1"/>
  <c r="AB65" i="18"/>
  <c r="AM65" i="18" s="1"/>
  <c r="AB245" i="18"/>
  <c r="AM245" i="18" s="1"/>
  <c r="AB299" i="18"/>
  <c r="AM299" i="18" s="1"/>
  <c r="AB119" i="18"/>
  <c r="AM119" i="18" s="1"/>
  <c r="AB281" i="18"/>
  <c r="AM281" i="18" s="1"/>
  <c r="AB173" i="18"/>
  <c r="AM173" i="18" s="1"/>
  <c r="AB101" i="18"/>
  <c r="AM101" i="18" s="1"/>
  <c r="AB353" i="18"/>
  <c r="AM353" i="18" s="1"/>
  <c r="AB335" i="18"/>
  <c r="AM335" i="18" s="1"/>
  <c r="AB83" i="18"/>
  <c r="AM83" i="18" s="1"/>
  <c r="AB191" i="18"/>
  <c r="AM191" i="18" s="1"/>
  <c r="AB317" i="18"/>
  <c r="AM317" i="18" s="1"/>
  <c r="AB209" i="18"/>
  <c r="AM209" i="18" s="1"/>
  <c r="AB47" i="18"/>
  <c r="AM47" i="18" s="1"/>
  <c r="AB263" i="18"/>
  <c r="AM263" i="18" s="1"/>
  <c r="AB137" i="18"/>
  <c r="AM137" i="18" s="1"/>
  <c r="AB155" i="18"/>
  <c r="AM155" i="18" s="1"/>
  <c r="U268" i="18"/>
  <c r="T26" i="13" s="1"/>
  <c r="T268" i="18"/>
  <c r="T8" i="13" s="1"/>
  <c r="T279" i="18"/>
  <c r="T18" i="13" s="1"/>
  <c r="U279" i="18"/>
  <c r="T36" i="13" s="1"/>
  <c r="U36" i="18"/>
  <c r="T36" i="18"/>
  <c r="G10" i="13" s="1"/>
  <c r="Z81" i="18"/>
  <c r="AK81" i="18" s="1"/>
  <c r="Z261" i="18"/>
  <c r="AK261" i="18" s="1"/>
  <c r="Z45" i="18"/>
  <c r="AK45" i="18" s="1"/>
  <c r="Z99" i="18"/>
  <c r="AK99" i="18" s="1"/>
  <c r="Z279" i="18"/>
  <c r="AK279" i="18" s="1"/>
  <c r="Z207" i="18"/>
  <c r="AK207" i="18" s="1"/>
  <c r="Z333" i="18"/>
  <c r="AK333" i="18" s="1"/>
  <c r="Z225" i="18"/>
  <c r="AK225" i="18" s="1"/>
  <c r="Z243" i="18"/>
  <c r="AK243" i="18" s="1"/>
  <c r="Z189" i="18"/>
  <c r="AK189" i="18" s="1"/>
  <c r="Z315" i="18"/>
  <c r="AK315" i="18" s="1"/>
  <c r="Z297" i="18"/>
  <c r="AK297" i="18" s="1"/>
  <c r="Z351" i="18"/>
  <c r="AK351" i="18" s="1"/>
  <c r="Z63" i="18"/>
  <c r="AK63" i="18" s="1"/>
  <c r="Z117" i="18"/>
  <c r="AK117" i="18" s="1"/>
  <c r="Z171" i="18"/>
  <c r="AK171" i="18" s="1"/>
  <c r="Z135" i="18"/>
  <c r="AK135" i="18" s="1"/>
  <c r="Z153" i="18"/>
  <c r="AK153" i="18" s="1"/>
  <c r="T206" i="18"/>
  <c r="P17" i="13" s="1"/>
  <c r="U206" i="18"/>
  <c r="P35" i="13" s="1"/>
  <c r="T60" i="18"/>
  <c r="H15" i="13" s="1"/>
  <c r="U60" i="18"/>
  <c r="H33" i="13" s="1"/>
  <c r="AA82" i="18"/>
  <c r="AL82" i="18" s="1"/>
  <c r="AA154" i="18"/>
  <c r="AL154" i="18" s="1"/>
  <c r="AA208" i="18"/>
  <c r="AL208" i="18" s="1"/>
  <c r="AA280" i="18"/>
  <c r="AL280" i="18" s="1"/>
  <c r="AA91" i="18"/>
  <c r="AL91" i="18" s="1"/>
  <c r="AA163" i="18"/>
  <c r="AL163" i="18" s="1"/>
  <c r="AA217" i="18"/>
  <c r="AL217" i="18" s="1"/>
  <c r="AA316" i="18"/>
  <c r="AL316" i="18" s="1"/>
  <c r="AA109" i="18"/>
  <c r="AL109" i="18" s="1"/>
  <c r="AA181" i="18"/>
  <c r="AL181" i="18" s="1"/>
  <c r="AA235" i="18"/>
  <c r="AL235" i="18" s="1"/>
  <c r="AA325" i="18"/>
  <c r="AL325" i="18" s="1"/>
  <c r="AA64" i="18"/>
  <c r="AL64" i="18" s="1"/>
  <c r="AA136" i="18"/>
  <c r="AL136" i="18" s="1"/>
  <c r="AA307" i="18"/>
  <c r="AL307" i="18" s="1"/>
  <c r="AA262" i="18"/>
  <c r="AL262" i="18" s="1"/>
  <c r="AA289" i="18"/>
  <c r="AL289" i="18" s="1"/>
  <c r="AA172" i="18"/>
  <c r="AL172" i="18" s="1"/>
  <c r="AA343" i="18"/>
  <c r="AL343" i="18" s="1"/>
  <c r="AA37" i="18"/>
  <c r="AL37" i="18" s="1"/>
  <c r="AA190" i="18"/>
  <c r="AL190" i="18" s="1"/>
  <c r="AA298" i="18"/>
  <c r="AL298" i="18" s="1"/>
  <c r="AA55" i="18"/>
  <c r="AL55" i="18" s="1"/>
  <c r="AA199" i="18"/>
  <c r="AL199" i="18" s="1"/>
  <c r="AA352" i="18"/>
  <c r="AL352" i="18" s="1"/>
  <c r="AA127" i="18"/>
  <c r="AL127" i="18" s="1"/>
  <c r="AA253" i="18"/>
  <c r="AL253" i="18" s="1"/>
  <c r="AA334" i="18"/>
  <c r="AL334" i="18" s="1"/>
  <c r="AA226" i="18"/>
  <c r="AL226" i="18" s="1"/>
  <c r="AA244" i="18"/>
  <c r="AL244" i="18" s="1"/>
  <c r="AA271" i="18"/>
  <c r="AL271" i="18" s="1"/>
  <c r="AA100" i="18"/>
  <c r="AL100" i="18" s="1"/>
  <c r="AA145" i="18"/>
  <c r="AL145" i="18" s="1"/>
  <c r="AA73" i="18"/>
  <c r="AL73" i="18" s="1"/>
  <c r="AA118" i="18"/>
  <c r="AL118" i="18" s="1"/>
  <c r="AA46" i="18"/>
  <c r="AL46" i="18" s="1"/>
  <c r="T122" i="18"/>
  <c r="L6" i="13" s="1"/>
  <c r="L24" i="13"/>
  <c r="U45" i="18"/>
  <c r="G36" i="13" s="1"/>
  <c r="T45" i="18"/>
  <c r="G18" i="13" s="1"/>
  <c r="X214" i="18"/>
  <c r="AI214" i="18" s="1"/>
  <c r="X196" i="18"/>
  <c r="AI196" i="18" s="1"/>
  <c r="X52" i="18"/>
  <c r="X232" i="18"/>
  <c r="AI232" i="18" s="1"/>
  <c r="X70" i="18"/>
  <c r="X268" i="18"/>
  <c r="AI268" i="18" s="1"/>
  <c r="X88" i="18"/>
  <c r="X286" i="18"/>
  <c r="AI286" i="18" s="1"/>
  <c r="X178" i="18"/>
  <c r="AI178" i="18" s="1"/>
  <c r="X34" i="18"/>
  <c r="X304" i="18"/>
  <c r="AI304" i="18" s="1"/>
  <c r="X160" i="18"/>
  <c r="AI160" i="18" s="1"/>
  <c r="U16" i="18"/>
  <c r="F26" i="13" s="1"/>
  <c r="X322" i="18"/>
  <c r="AI322" i="18" s="1"/>
  <c r="T16" i="18"/>
  <c r="F8" i="13" s="1"/>
  <c r="X340" i="18"/>
  <c r="AI340" i="18" s="1"/>
  <c r="X106" i="18"/>
  <c r="AI106" i="18" s="1"/>
  <c r="X124" i="18"/>
  <c r="AI124" i="18" s="1"/>
  <c r="X142" i="18"/>
  <c r="AI142" i="18" s="1"/>
  <c r="X250" i="18"/>
  <c r="AI250" i="18" s="1"/>
  <c r="U95" i="18"/>
  <c r="J32" i="13" s="1"/>
  <c r="T95" i="18"/>
  <c r="J14" i="13" s="1"/>
  <c r="T323" i="18"/>
  <c r="W9" i="13" s="1"/>
  <c r="U323" i="18"/>
  <c r="U161" i="18"/>
  <c r="T161" i="18"/>
  <c r="N9" i="13" s="1"/>
  <c r="U320" i="18"/>
  <c r="W24" i="13" s="1"/>
  <c r="T320" i="18"/>
  <c r="W6" i="13" s="1"/>
  <c r="T349" i="18"/>
  <c r="X16" i="13" s="1"/>
  <c r="U349" i="18"/>
  <c r="X34" i="13" s="1"/>
  <c r="AB88" i="18"/>
  <c r="AM88" i="18" s="1"/>
  <c r="AB304" i="18"/>
  <c r="AM304" i="18" s="1"/>
  <c r="AB178" i="18"/>
  <c r="AM178" i="18" s="1"/>
  <c r="AB340" i="18"/>
  <c r="AM340" i="18" s="1"/>
  <c r="AB214" i="18"/>
  <c r="AM214" i="18" s="1"/>
  <c r="AB142" i="18"/>
  <c r="AM142" i="18" s="1"/>
  <c r="AB268" i="18"/>
  <c r="AM268" i="18" s="1"/>
  <c r="AB106" i="18"/>
  <c r="AM106" i="18" s="1"/>
  <c r="AB196" i="18"/>
  <c r="AM196" i="18" s="1"/>
  <c r="AB34" i="18"/>
  <c r="AM34" i="18" s="1"/>
  <c r="AB70" i="18"/>
  <c r="AM70" i="18" s="1"/>
  <c r="AB160" i="18"/>
  <c r="AM160" i="18" s="1"/>
  <c r="AB250" i="18"/>
  <c r="AM250" i="18" s="1"/>
  <c r="AB124" i="18"/>
  <c r="AM124" i="18" s="1"/>
  <c r="AB232" i="18"/>
  <c r="AM232" i="18" s="1"/>
  <c r="AB286" i="18"/>
  <c r="AM286" i="18" s="1"/>
  <c r="AB52" i="18"/>
  <c r="AM52" i="18" s="1"/>
  <c r="AB322" i="18"/>
  <c r="AM322" i="18" s="1"/>
  <c r="T51" i="18"/>
  <c r="H7" i="13" s="1"/>
  <c r="U51" i="18"/>
  <c r="H25" i="13" s="1"/>
  <c r="T215" i="18"/>
  <c r="Q9" i="13" s="1"/>
  <c r="U215" i="18"/>
  <c r="Q27" i="13" s="1"/>
  <c r="AA71" i="18"/>
  <c r="AL71" i="18" s="1"/>
  <c r="AA143" i="18"/>
  <c r="AL143" i="18" s="1"/>
  <c r="AA296" i="18"/>
  <c r="AL296" i="18" s="1"/>
  <c r="AA206" i="18"/>
  <c r="AL206" i="18" s="1"/>
  <c r="AA44" i="18"/>
  <c r="AL44" i="18" s="1"/>
  <c r="AA80" i="18"/>
  <c r="AL80" i="18" s="1"/>
  <c r="AA152" i="18"/>
  <c r="AL152" i="18" s="1"/>
  <c r="AA134" i="18"/>
  <c r="AL134" i="18" s="1"/>
  <c r="AA350" i="18"/>
  <c r="AL350" i="18" s="1"/>
  <c r="AA233" i="18"/>
  <c r="AL233" i="18" s="1"/>
  <c r="AA53" i="18"/>
  <c r="AL53" i="18" s="1"/>
  <c r="AA161" i="18"/>
  <c r="AL161" i="18" s="1"/>
  <c r="AA332" i="18"/>
  <c r="AL332" i="18" s="1"/>
  <c r="AA278" i="18"/>
  <c r="AL278" i="18" s="1"/>
  <c r="AA62" i="18"/>
  <c r="AL62" i="18" s="1"/>
  <c r="AA170" i="18"/>
  <c r="AL170" i="18" s="1"/>
  <c r="AA305" i="18"/>
  <c r="AL305" i="18" s="1"/>
  <c r="AA224" i="18"/>
  <c r="AL224" i="18" s="1"/>
  <c r="AA89" i="18"/>
  <c r="AL89" i="18" s="1"/>
  <c r="AA179" i="18"/>
  <c r="AL179" i="18" s="1"/>
  <c r="AA215" i="18"/>
  <c r="AL215" i="18" s="1"/>
  <c r="AA251" i="18"/>
  <c r="AL251" i="18" s="1"/>
  <c r="AA98" i="18"/>
  <c r="AL98" i="18" s="1"/>
  <c r="AA242" i="18"/>
  <c r="AL242" i="18" s="1"/>
  <c r="AA341" i="18"/>
  <c r="AL341" i="18" s="1"/>
  <c r="AA107" i="18"/>
  <c r="AL107" i="18" s="1"/>
  <c r="AA269" i="18"/>
  <c r="AL269" i="18" s="1"/>
  <c r="AA197" i="18"/>
  <c r="AL197" i="18" s="1"/>
  <c r="AA116" i="18"/>
  <c r="AL116" i="18" s="1"/>
  <c r="AA314" i="18"/>
  <c r="AL314" i="18" s="1"/>
  <c r="AA188" i="18"/>
  <c r="AL188" i="18" s="1"/>
  <c r="AA125" i="18"/>
  <c r="AL125" i="18" s="1"/>
  <c r="AA260" i="18"/>
  <c r="AL260" i="18" s="1"/>
  <c r="AA287" i="18"/>
  <c r="AL287" i="18" s="1"/>
  <c r="AA35" i="18"/>
  <c r="AL35" i="18" s="1"/>
  <c r="AA323" i="18"/>
  <c r="AL323" i="18" s="1"/>
  <c r="T307" i="18"/>
  <c r="V11" i="13" s="1"/>
  <c r="U307" i="18"/>
  <c r="AA275" i="18"/>
  <c r="AL275" i="18" s="1"/>
  <c r="AA203" i="18"/>
  <c r="AL203" i="18" s="1"/>
  <c r="AA293" i="18"/>
  <c r="AL293" i="18" s="1"/>
  <c r="AA311" i="18"/>
  <c r="AL311" i="18" s="1"/>
  <c r="AA113" i="18"/>
  <c r="AL113" i="18" s="1"/>
  <c r="AA131" i="18"/>
  <c r="AL131" i="18" s="1"/>
  <c r="AA239" i="18"/>
  <c r="AL239" i="18" s="1"/>
  <c r="AA149" i="18"/>
  <c r="AL149" i="18" s="1"/>
  <c r="AA167" i="18"/>
  <c r="AL167" i="18" s="1"/>
  <c r="AA329" i="18"/>
  <c r="AL329" i="18" s="1"/>
  <c r="AA95" i="18"/>
  <c r="AL95" i="18" s="1"/>
  <c r="AA221" i="18"/>
  <c r="AL221" i="18" s="1"/>
  <c r="AA77" i="18"/>
  <c r="AL77" i="18" s="1"/>
  <c r="AA41" i="18"/>
  <c r="AL41" i="18" s="1"/>
  <c r="AA347" i="18"/>
  <c r="AL347" i="18" s="1"/>
  <c r="AA185" i="18"/>
  <c r="AL185" i="18" s="1"/>
  <c r="AA59" i="18"/>
  <c r="AL59" i="18" s="1"/>
  <c r="AA257" i="18"/>
  <c r="AL257" i="18" s="1"/>
  <c r="U159" i="18"/>
  <c r="N25" i="13" s="1"/>
  <c r="T159" i="18"/>
  <c r="N7" i="13" s="1"/>
  <c r="AB72" i="18"/>
  <c r="AM72" i="18" s="1"/>
  <c r="AB324" i="18"/>
  <c r="AM324" i="18" s="1"/>
  <c r="AB162" i="18"/>
  <c r="AM162" i="18" s="1"/>
  <c r="AB306" i="18"/>
  <c r="AM306" i="18" s="1"/>
  <c r="AB198" i="18"/>
  <c r="AM198" i="18" s="1"/>
  <c r="AB54" i="18"/>
  <c r="AM54" i="18" s="1"/>
  <c r="AB252" i="18"/>
  <c r="AM252" i="18" s="1"/>
  <c r="AB144" i="18"/>
  <c r="AM144" i="18" s="1"/>
  <c r="AB342" i="18"/>
  <c r="AM342" i="18" s="1"/>
  <c r="AB288" i="18"/>
  <c r="AM288" i="18" s="1"/>
  <c r="AB126" i="18"/>
  <c r="AM126" i="18" s="1"/>
  <c r="AB234" i="18"/>
  <c r="AM234" i="18" s="1"/>
  <c r="AB36" i="18"/>
  <c r="AM36" i="18" s="1"/>
  <c r="AB108" i="18"/>
  <c r="AM108" i="18" s="1"/>
  <c r="AB216" i="18"/>
  <c r="AM216" i="18" s="1"/>
  <c r="AB270" i="18"/>
  <c r="AM270" i="18" s="1"/>
  <c r="AB180" i="18"/>
  <c r="AM180" i="18" s="1"/>
  <c r="AB90" i="18"/>
  <c r="AM90" i="18" s="1"/>
  <c r="X98" i="18"/>
  <c r="AI98" i="18" s="1"/>
  <c r="X350" i="18"/>
  <c r="AI350" i="18" s="1"/>
  <c r="X116" i="18"/>
  <c r="AI116" i="18" s="1"/>
  <c r="X224" i="18"/>
  <c r="AI224" i="18" s="1"/>
  <c r="X152" i="18"/>
  <c r="AI152" i="18" s="1"/>
  <c r="X314" i="18"/>
  <c r="AI314" i="18" s="1"/>
  <c r="X62" i="18"/>
  <c r="X206" i="18"/>
  <c r="AI206" i="18" s="1"/>
  <c r="X296" i="18"/>
  <c r="AI296" i="18" s="1"/>
  <c r="X134" i="18"/>
  <c r="AI134" i="18" s="1"/>
  <c r="X170" i="18"/>
  <c r="AI170" i="18" s="1"/>
  <c r="X188" i="18"/>
  <c r="AI188" i="18" s="1"/>
  <c r="X242" i="18"/>
  <c r="AI242" i="18" s="1"/>
  <c r="X332" i="18"/>
  <c r="AI332" i="18" s="1"/>
  <c r="X260" i="18"/>
  <c r="AI260" i="18" s="1"/>
  <c r="X44" i="18"/>
  <c r="X278" i="18"/>
  <c r="AI278" i="18" s="1"/>
  <c r="U26" i="18"/>
  <c r="F35" i="13" s="1"/>
  <c r="X80" i="18"/>
  <c r="T26" i="18"/>
  <c r="F17" i="13" s="1"/>
  <c r="U266" i="18"/>
  <c r="T24" i="13" s="1"/>
  <c r="T266" i="18"/>
  <c r="T6" i="13" s="1"/>
  <c r="T59" i="18"/>
  <c r="H14" i="13" s="1"/>
  <c r="U59" i="18"/>
  <c r="H32" i="13" s="1"/>
  <c r="U152" i="18"/>
  <c r="M35" i="13" s="1"/>
  <c r="T152" i="18"/>
  <c r="M17" i="13" s="1"/>
  <c r="U282" i="18"/>
  <c r="T39" i="13" s="1"/>
  <c r="T282" i="18"/>
  <c r="T21" i="13" s="1"/>
  <c r="U336" i="18"/>
  <c r="W39" i="13" s="1"/>
  <c r="T336" i="18"/>
  <c r="W21" i="13" s="1"/>
  <c r="T164" i="18"/>
  <c r="N12" i="13" s="1"/>
  <c r="U164" i="18"/>
  <c r="U167" i="18"/>
  <c r="N32" i="13" s="1"/>
  <c r="T167" i="18"/>
  <c r="N14" i="13" s="1"/>
  <c r="U180" i="18"/>
  <c r="T180" i="18"/>
  <c r="O10" i="13" s="1"/>
  <c r="T348" i="18"/>
  <c r="X15" i="13" s="1"/>
  <c r="U348" i="18"/>
  <c r="X33" i="13" s="1"/>
  <c r="T316" i="18"/>
  <c r="V19" i="13" s="1"/>
  <c r="U316" i="18"/>
  <c r="V37" i="13" s="1"/>
  <c r="U46" i="18"/>
  <c r="G37" i="13" s="1"/>
  <c r="T46" i="18"/>
  <c r="G19" i="13" s="1"/>
  <c r="Z241" i="18"/>
  <c r="AK241" i="18" s="1"/>
  <c r="Z295" i="18"/>
  <c r="AK295" i="18" s="1"/>
  <c r="Z61" i="18"/>
  <c r="AK61" i="18" s="1"/>
  <c r="Z259" i="18"/>
  <c r="AK259" i="18" s="1"/>
  <c r="Z349" i="18"/>
  <c r="AK349" i="18" s="1"/>
  <c r="Z133" i="18"/>
  <c r="AK133" i="18" s="1"/>
  <c r="Z331" i="18"/>
  <c r="AK331" i="18" s="1"/>
  <c r="Z151" i="18"/>
  <c r="AK151" i="18" s="1"/>
  <c r="Z223" i="18"/>
  <c r="AK223" i="18" s="1"/>
  <c r="Z277" i="18"/>
  <c r="AK277" i="18" s="1"/>
  <c r="Z43" i="18"/>
  <c r="AK43" i="18" s="1"/>
  <c r="Z79" i="18"/>
  <c r="AK79" i="18" s="1"/>
  <c r="Z205" i="18"/>
  <c r="AK205" i="18" s="1"/>
  <c r="Z313" i="18"/>
  <c r="AK313" i="18" s="1"/>
  <c r="Z97" i="18"/>
  <c r="AK97" i="18" s="1"/>
  <c r="Z187" i="18"/>
  <c r="AK187" i="18" s="1"/>
  <c r="Z115" i="18"/>
  <c r="AK115" i="18" s="1"/>
  <c r="Z169" i="18"/>
  <c r="AK169" i="18" s="1"/>
  <c r="T203" i="18"/>
  <c r="P14" i="13" s="1"/>
  <c r="U203" i="18"/>
  <c r="P32" i="13" s="1"/>
  <c r="AC109" i="18"/>
  <c r="AN109" i="18" s="1"/>
  <c r="AC271" i="18"/>
  <c r="AN271" i="18" s="1"/>
  <c r="AC145" i="18"/>
  <c r="AN145" i="18" s="1"/>
  <c r="AC343" i="18"/>
  <c r="AN343" i="18" s="1"/>
  <c r="AC163" i="18"/>
  <c r="AN163" i="18" s="1"/>
  <c r="AC289" i="18"/>
  <c r="AN289" i="18" s="1"/>
  <c r="AC127" i="18"/>
  <c r="AN127" i="18" s="1"/>
  <c r="AC235" i="18"/>
  <c r="AN235" i="18" s="1"/>
  <c r="AC325" i="18"/>
  <c r="AN325" i="18" s="1"/>
  <c r="AC37" i="18"/>
  <c r="AN37" i="18" s="1"/>
  <c r="AC307" i="18"/>
  <c r="AN307" i="18" s="1"/>
  <c r="AC217" i="18"/>
  <c r="AN217" i="18" s="1"/>
  <c r="AC253" i="18"/>
  <c r="AN253" i="18" s="1"/>
  <c r="AC55" i="18"/>
  <c r="AN55" i="18" s="1"/>
  <c r="AC73" i="18"/>
  <c r="AN73" i="18" s="1"/>
  <c r="AC91" i="18"/>
  <c r="AN91" i="18" s="1"/>
  <c r="AC181" i="18"/>
  <c r="AN181" i="18" s="1"/>
  <c r="AC199" i="18"/>
  <c r="AN199" i="18" s="1"/>
  <c r="T62" i="18"/>
  <c r="H17" i="13" s="1"/>
  <c r="U62" i="18"/>
  <c r="H35" i="13" s="1"/>
  <c r="AA151" i="18"/>
  <c r="AL151" i="18" s="1"/>
  <c r="AA133" i="18"/>
  <c r="AL133" i="18" s="1"/>
  <c r="AA223" i="18"/>
  <c r="AL223" i="18" s="1"/>
  <c r="AA313" i="18"/>
  <c r="AL313" i="18" s="1"/>
  <c r="AA259" i="18"/>
  <c r="AL259" i="18" s="1"/>
  <c r="AA349" i="18"/>
  <c r="AL349" i="18" s="1"/>
  <c r="AA79" i="18"/>
  <c r="AL79" i="18" s="1"/>
  <c r="AA61" i="18"/>
  <c r="AL61" i="18" s="1"/>
  <c r="AA115" i="18"/>
  <c r="AL115" i="18" s="1"/>
  <c r="AA241" i="18"/>
  <c r="AL241" i="18" s="1"/>
  <c r="AA277" i="18"/>
  <c r="AL277" i="18" s="1"/>
  <c r="AA169" i="18"/>
  <c r="AL169" i="18" s="1"/>
  <c r="AA331" i="18"/>
  <c r="AL331" i="18" s="1"/>
  <c r="AA43" i="18"/>
  <c r="AL43" i="18" s="1"/>
  <c r="AA97" i="18"/>
  <c r="AL97" i="18" s="1"/>
  <c r="AA295" i="18"/>
  <c r="AL295" i="18" s="1"/>
  <c r="AA187" i="18"/>
  <c r="AL187" i="18" s="1"/>
  <c r="AA205" i="18"/>
  <c r="AL205" i="18" s="1"/>
  <c r="U89" i="18"/>
  <c r="T89" i="18"/>
  <c r="J9" i="13" s="1"/>
  <c r="U304" i="18"/>
  <c r="V26" i="13" s="1"/>
  <c r="T304" i="18"/>
  <c r="V8" i="13" s="1"/>
  <c r="X174" i="18"/>
  <c r="AI174" i="18" s="1"/>
  <c r="X264" i="18"/>
  <c r="AI264" i="18" s="1"/>
  <c r="X192" i="18"/>
  <c r="AI192" i="18" s="1"/>
  <c r="X354" i="18"/>
  <c r="AI354" i="18" s="1"/>
  <c r="X66" i="18"/>
  <c r="X318" i="18"/>
  <c r="AI318" i="18" s="1"/>
  <c r="X228" i="18"/>
  <c r="AI228" i="18" s="1"/>
  <c r="X138" i="18"/>
  <c r="AI138" i="18" s="1"/>
  <c r="X336" i="18"/>
  <c r="AI336" i="18" s="1"/>
  <c r="X84" i="18"/>
  <c r="X102" i="18"/>
  <c r="AI102" i="18" s="1"/>
  <c r="X120" i="18"/>
  <c r="AI120" i="18" s="1"/>
  <c r="X156" i="18"/>
  <c r="AI156" i="18" s="1"/>
  <c r="X48" i="18"/>
  <c r="X300" i="18"/>
  <c r="AI300" i="18" s="1"/>
  <c r="X282" i="18"/>
  <c r="AI282" i="18" s="1"/>
  <c r="X246" i="18"/>
  <c r="AI246" i="18" s="1"/>
  <c r="U30" i="18"/>
  <c r="F39" i="13" s="1"/>
  <c r="X210" i="18"/>
  <c r="AI210" i="18" s="1"/>
  <c r="T30" i="18"/>
  <c r="F21" i="13" s="1"/>
  <c r="T287" i="18"/>
  <c r="U9" i="13" s="1"/>
  <c r="U287" i="18"/>
  <c r="AB241" i="18"/>
  <c r="AM241" i="18" s="1"/>
  <c r="AB295" i="18"/>
  <c r="AM295" i="18" s="1"/>
  <c r="AB259" i="18"/>
  <c r="AM259" i="18" s="1"/>
  <c r="AB61" i="18"/>
  <c r="AM61" i="18" s="1"/>
  <c r="AB115" i="18"/>
  <c r="AM115" i="18" s="1"/>
  <c r="AB187" i="18"/>
  <c r="AM187" i="18" s="1"/>
  <c r="AB151" i="18"/>
  <c r="AM151" i="18" s="1"/>
  <c r="AB133" i="18"/>
  <c r="AM133" i="18" s="1"/>
  <c r="AB205" i="18"/>
  <c r="AM205" i="18" s="1"/>
  <c r="AB43" i="18"/>
  <c r="AM43" i="18" s="1"/>
  <c r="AB79" i="18"/>
  <c r="AM79" i="18" s="1"/>
  <c r="AB349" i="18"/>
  <c r="AM349" i="18" s="1"/>
  <c r="AB97" i="18"/>
  <c r="AM97" i="18" s="1"/>
  <c r="AB169" i="18"/>
  <c r="AM169" i="18" s="1"/>
  <c r="AB223" i="18"/>
  <c r="AM223" i="18" s="1"/>
  <c r="AB277" i="18"/>
  <c r="AM277" i="18" s="1"/>
  <c r="AB331" i="18"/>
  <c r="AM331" i="18" s="1"/>
  <c r="AB313" i="18"/>
  <c r="AM313" i="18" s="1"/>
  <c r="T128" i="18"/>
  <c r="L12" i="13" s="1"/>
  <c r="U128" i="18"/>
  <c r="U303" i="18"/>
  <c r="V25" i="13" s="1"/>
  <c r="T303" i="18"/>
  <c r="V7" i="13" s="1"/>
  <c r="T100" i="18"/>
  <c r="J19" i="13" s="1"/>
  <c r="U100" i="18"/>
  <c r="J37" i="13" s="1"/>
  <c r="U257" i="18"/>
  <c r="S32" i="13" s="1"/>
  <c r="T257" i="18"/>
  <c r="S14" i="13" s="1"/>
  <c r="T340" i="18"/>
  <c r="X8" i="13" s="1"/>
  <c r="U340" i="18"/>
  <c r="X26" i="13" s="1"/>
  <c r="U144" i="18"/>
  <c r="T144" i="18"/>
  <c r="M10" i="13" s="1"/>
  <c r="U240" i="18"/>
  <c r="R33" i="13" s="1"/>
  <c r="T240" i="18"/>
  <c r="R15" i="13" s="1"/>
  <c r="T197" i="18"/>
  <c r="P9" i="13" s="1"/>
  <c r="U197" i="18"/>
  <c r="U318" i="18"/>
  <c r="V39" i="13" s="1"/>
  <c r="T318" i="18"/>
  <c r="V21" i="13" s="1"/>
  <c r="T182" i="18"/>
  <c r="O12" i="13" s="1"/>
  <c r="U182" i="18"/>
  <c r="T235" i="18"/>
  <c r="R11" i="13" s="1"/>
  <c r="U235" i="18"/>
  <c r="T96" i="18"/>
  <c r="J15" i="13" s="1"/>
  <c r="U96" i="18"/>
  <c r="J33" i="13" s="1"/>
  <c r="U181" i="18"/>
  <c r="T181" i="18"/>
  <c r="O11" i="13" s="1"/>
  <c r="U138" i="18"/>
  <c r="L39" i="13" s="1"/>
  <c r="T138" i="18"/>
  <c r="L21" i="13" s="1"/>
  <c r="T351" i="18"/>
  <c r="X18" i="13" s="1"/>
  <c r="U351" i="18"/>
  <c r="X36" i="13" s="1"/>
  <c r="U331" i="18"/>
  <c r="W34" i="13" s="1"/>
  <c r="T331" i="18"/>
  <c r="W16" i="13" s="1"/>
  <c r="T75" i="18"/>
  <c r="I13" i="13" s="1"/>
  <c r="U75" i="18"/>
  <c r="U118" i="18"/>
  <c r="K37" i="13" s="1"/>
  <c r="T118" i="18"/>
  <c r="K19" i="13" s="1"/>
  <c r="U77" i="18"/>
  <c r="I32" i="13" s="1"/>
  <c r="T77" i="18"/>
  <c r="I14" i="13" s="1"/>
  <c r="U66" i="18"/>
  <c r="H39" i="13" s="1"/>
  <c r="T66" i="18"/>
  <c r="H21" i="13" s="1"/>
  <c r="U107" i="18"/>
  <c r="T107" i="18"/>
  <c r="K9" i="13" s="1"/>
  <c r="U326" i="18"/>
  <c r="T326" i="18"/>
  <c r="W12" i="13" s="1"/>
  <c r="T136" i="18"/>
  <c r="L19" i="13" s="1"/>
  <c r="U136" i="18"/>
  <c r="L37" i="13" s="1"/>
  <c r="U226" i="18"/>
  <c r="Q37" i="13" s="1"/>
  <c r="T226" i="18"/>
  <c r="Q19" i="13" s="1"/>
  <c r="U151" i="18"/>
  <c r="M34" i="13" s="1"/>
  <c r="T151" i="18"/>
  <c r="M16" i="13" s="1"/>
  <c r="T212" i="18"/>
  <c r="Q6" i="13" s="1"/>
  <c r="U212" i="18"/>
  <c r="Q24" i="13" s="1"/>
  <c r="T69" i="18"/>
  <c r="I7" i="13" s="1"/>
  <c r="U69" i="18"/>
  <c r="I25" i="13" s="1"/>
  <c r="T187" i="18"/>
  <c r="O16" i="13" s="1"/>
  <c r="U187" i="18"/>
  <c r="O34" i="13" s="1"/>
  <c r="U273" i="18"/>
  <c r="T273" i="18"/>
  <c r="T13" i="13" s="1"/>
  <c r="U239" i="18"/>
  <c r="R32" i="13" s="1"/>
  <c r="T239" i="18"/>
  <c r="R14" i="13" s="1"/>
  <c r="U258" i="18"/>
  <c r="S33" i="13" s="1"/>
  <c r="T258" i="18"/>
  <c r="S15" i="13" s="1"/>
  <c r="T32" i="18"/>
  <c r="G6" i="13" s="1"/>
  <c r="U32" i="18"/>
  <c r="G24" i="13" s="1"/>
  <c r="T172" i="18"/>
  <c r="N19" i="13" s="1"/>
  <c r="U172" i="18"/>
  <c r="N37" i="13" s="1"/>
  <c r="T54" i="18"/>
  <c r="H10" i="13" s="1"/>
  <c r="U54" i="18"/>
  <c r="U72" i="18"/>
  <c r="T72" i="18"/>
  <c r="I10" i="13" s="1"/>
  <c r="U218" i="18"/>
  <c r="Q30" i="13" s="1"/>
  <c r="T218" i="18"/>
  <c r="Q12" i="13" s="1"/>
  <c r="U194" i="18"/>
  <c r="P24" i="13" s="1"/>
  <c r="T194" i="18"/>
  <c r="P6" i="13" s="1"/>
  <c r="AA266" i="18"/>
  <c r="AL266" i="18" s="1"/>
  <c r="AA68" i="18"/>
  <c r="AL68" i="18" s="1"/>
  <c r="AA284" i="18"/>
  <c r="AL284" i="18" s="1"/>
  <c r="AA320" i="18"/>
  <c r="AL320" i="18" s="1"/>
  <c r="AA158" i="18"/>
  <c r="AL158" i="18" s="1"/>
  <c r="AA194" i="18"/>
  <c r="AL194" i="18" s="1"/>
  <c r="AA230" i="18"/>
  <c r="AL230" i="18" s="1"/>
  <c r="AA86" i="18"/>
  <c r="AL86" i="18" s="1"/>
  <c r="AA176" i="18"/>
  <c r="AL176" i="18" s="1"/>
  <c r="AA50" i="18"/>
  <c r="AL50" i="18" s="1"/>
  <c r="AA302" i="18"/>
  <c r="AL302" i="18" s="1"/>
  <c r="AA104" i="18"/>
  <c r="AL104" i="18" s="1"/>
  <c r="AA212" i="18"/>
  <c r="AL212" i="18" s="1"/>
  <c r="AA140" i="18"/>
  <c r="AL140" i="18" s="1"/>
  <c r="AA248" i="18"/>
  <c r="AL248" i="18" s="1"/>
  <c r="AA32" i="18"/>
  <c r="AL32" i="18" s="1"/>
  <c r="AA122" i="18"/>
  <c r="AL122" i="18" s="1"/>
  <c r="AA338" i="18"/>
  <c r="AL338" i="18" s="1"/>
  <c r="U231" i="18"/>
  <c r="R25" i="13" s="1"/>
  <c r="T231" i="18"/>
  <c r="R7" i="13" s="1"/>
  <c r="AB145" i="18"/>
  <c r="AM145" i="18" s="1"/>
  <c r="AB235" i="18"/>
  <c r="AM235" i="18" s="1"/>
  <c r="AB163" i="18"/>
  <c r="AM163" i="18" s="1"/>
  <c r="AB307" i="18"/>
  <c r="AM307" i="18" s="1"/>
  <c r="AB55" i="18"/>
  <c r="AM55" i="18" s="1"/>
  <c r="AB217" i="18"/>
  <c r="AM217" i="18" s="1"/>
  <c r="AB73" i="18"/>
  <c r="AM73" i="18" s="1"/>
  <c r="AB253" i="18"/>
  <c r="AM253" i="18" s="1"/>
  <c r="AB91" i="18"/>
  <c r="AM91" i="18" s="1"/>
  <c r="AB271" i="18"/>
  <c r="AM271" i="18" s="1"/>
  <c r="AB37" i="18"/>
  <c r="AM37" i="18" s="1"/>
  <c r="AB109" i="18"/>
  <c r="AM109" i="18" s="1"/>
  <c r="AB343" i="18"/>
  <c r="AM343" i="18" s="1"/>
  <c r="AB289" i="18"/>
  <c r="AM289" i="18" s="1"/>
  <c r="AB127" i="18"/>
  <c r="AM127" i="18" s="1"/>
  <c r="AB181" i="18"/>
  <c r="AM181" i="18" s="1"/>
  <c r="AB199" i="18"/>
  <c r="AM199" i="18" s="1"/>
  <c r="AB325" i="18"/>
  <c r="AM325" i="18" s="1"/>
  <c r="U332" i="18"/>
  <c r="W35" i="13" s="1"/>
  <c r="T332" i="18"/>
  <c r="W17" i="13" s="1"/>
  <c r="T352" i="18"/>
  <c r="X19" i="13" s="1"/>
  <c r="U352" i="18"/>
  <c r="X37" i="13" s="1"/>
  <c r="U47" i="18"/>
  <c r="G38" i="13" s="1"/>
  <c r="T47" i="18"/>
  <c r="G20" i="13" s="1"/>
  <c r="U334" i="18"/>
  <c r="W37" i="13" s="1"/>
  <c r="T334" i="18"/>
  <c r="W19" i="13" s="1"/>
  <c r="U170" i="18"/>
  <c r="N35" i="13" s="1"/>
  <c r="T170" i="18"/>
  <c r="N17" i="13" s="1"/>
  <c r="T350" i="18"/>
  <c r="X17" i="13" s="1"/>
  <c r="U350" i="18"/>
  <c r="X35" i="13" s="1"/>
  <c r="AB89" i="18"/>
  <c r="AM89" i="18" s="1"/>
  <c r="AB233" i="18"/>
  <c r="AM233" i="18" s="1"/>
  <c r="AB107" i="18"/>
  <c r="AM107" i="18" s="1"/>
  <c r="AB251" i="18"/>
  <c r="AM251" i="18" s="1"/>
  <c r="AB143" i="18"/>
  <c r="AM143" i="18" s="1"/>
  <c r="AB287" i="18"/>
  <c r="AM287" i="18" s="1"/>
  <c r="AB197" i="18"/>
  <c r="AM197" i="18" s="1"/>
  <c r="AB341" i="18"/>
  <c r="AM341" i="18" s="1"/>
  <c r="AB125" i="18"/>
  <c r="AM125" i="18" s="1"/>
  <c r="AB161" i="18"/>
  <c r="AM161" i="18" s="1"/>
  <c r="AB179" i="18"/>
  <c r="AM179" i="18" s="1"/>
  <c r="AB305" i="18"/>
  <c r="AM305" i="18" s="1"/>
  <c r="AB215" i="18"/>
  <c r="AM215" i="18" s="1"/>
  <c r="AB269" i="18"/>
  <c r="AM269" i="18" s="1"/>
  <c r="AB323" i="18"/>
  <c r="AM323" i="18" s="1"/>
  <c r="AB71" i="18"/>
  <c r="AM71" i="18" s="1"/>
  <c r="AB35" i="18"/>
  <c r="AM35" i="18" s="1"/>
  <c r="AB53" i="18"/>
  <c r="AM53" i="18" s="1"/>
  <c r="U90" i="18"/>
  <c r="T90" i="18"/>
  <c r="J10" i="13" s="1"/>
  <c r="Y192" i="18"/>
  <c r="AJ192" i="18" s="1"/>
  <c r="Y210" i="18"/>
  <c r="AJ210" i="18" s="1"/>
  <c r="Y66" i="18"/>
  <c r="AJ66" i="18" s="1"/>
  <c r="Y318" i="18"/>
  <c r="AJ318" i="18" s="1"/>
  <c r="Y264" i="18"/>
  <c r="AJ264" i="18" s="1"/>
  <c r="Y84" i="18"/>
  <c r="AJ84" i="18" s="1"/>
  <c r="Y300" i="18"/>
  <c r="AJ300" i="18" s="1"/>
  <c r="Y156" i="18"/>
  <c r="AJ156" i="18" s="1"/>
  <c r="Y246" i="18"/>
  <c r="AJ246" i="18" s="1"/>
  <c r="Y102" i="18"/>
  <c r="AJ102" i="18" s="1"/>
  <c r="Y120" i="18"/>
  <c r="AJ120" i="18" s="1"/>
  <c r="Y138" i="18"/>
  <c r="AJ138" i="18" s="1"/>
  <c r="Y48" i="18"/>
  <c r="AJ48" i="18" s="1"/>
  <c r="Y174" i="18"/>
  <c r="AJ174" i="18" s="1"/>
  <c r="Y354" i="18"/>
  <c r="AJ354" i="18" s="1"/>
  <c r="Y282" i="18"/>
  <c r="AJ282" i="18" s="1"/>
  <c r="Y336" i="18"/>
  <c r="AJ336" i="18" s="1"/>
  <c r="Y228" i="18"/>
  <c r="AJ228" i="18" s="1"/>
  <c r="T163" i="18"/>
  <c r="N11" i="13" s="1"/>
  <c r="U163" i="18"/>
  <c r="X299" i="18"/>
  <c r="AI299" i="18" s="1"/>
  <c r="X119" i="18"/>
  <c r="AI119" i="18" s="1"/>
  <c r="X317" i="18"/>
  <c r="AI317" i="18" s="1"/>
  <c r="X191" i="18"/>
  <c r="AI191" i="18" s="1"/>
  <c r="X209" i="18"/>
  <c r="AI209" i="18" s="1"/>
  <c r="X353" i="18"/>
  <c r="AI353" i="18" s="1"/>
  <c r="X173" i="18"/>
  <c r="AI173" i="18" s="1"/>
  <c r="X263" i="18"/>
  <c r="AI263" i="18" s="1"/>
  <c r="X65" i="18"/>
  <c r="X137" i="18"/>
  <c r="AI137" i="18" s="1"/>
  <c r="X227" i="18"/>
  <c r="AI227" i="18" s="1"/>
  <c r="X245" i="18"/>
  <c r="AI245" i="18" s="1"/>
  <c r="X155" i="18"/>
  <c r="AI155" i="18" s="1"/>
  <c r="X47" i="18"/>
  <c r="U29" i="18"/>
  <c r="F38" i="13" s="1"/>
  <c r="T29" i="18"/>
  <c r="F20" i="13" s="1"/>
  <c r="X83" i="18"/>
  <c r="X335" i="18"/>
  <c r="AI335" i="18" s="1"/>
  <c r="X281" i="18"/>
  <c r="AI281" i="18" s="1"/>
  <c r="X101" i="18"/>
  <c r="AI101" i="18" s="1"/>
  <c r="U339" i="18"/>
  <c r="X25" i="13" s="1"/>
  <c r="T339" i="18"/>
  <c r="X7" i="13" s="1"/>
  <c r="Y188" i="18"/>
  <c r="AJ188" i="18" s="1"/>
  <c r="Y296" i="18"/>
  <c r="AJ296" i="18" s="1"/>
  <c r="Y62" i="18"/>
  <c r="AJ62" i="18" s="1"/>
  <c r="Y206" i="18"/>
  <c r="AJ206" i="18" s="1"/>
  <c r="Y278" i="18"/>
  <c r="AJ278" i="18" s="1"/>
  <c r="Y98" i="18"/>
  <c r="AJ98" i="18" s="1"/>
  <c r="Y314" i="18"/>
  <c r="AJ314" i="18" s="1"/>
  <c r="Y152" i="18"/>
  <c r="AJ152" i="18" s="1"/>
  <c r="Y242" i="18"/>
  <c r="AJ242" i="18" s="1"/>
  <c r="Y80" i="18"/>
  <c r="AJ80" i="18" s="1"/>
  <c r="Y116" i="18"/>
  <c r="AJ116" i="18" s="1"/>
  <c r="Y134" i="18"/>
  <c r="AJ134" i="18" s="1"/>
  <c r="Y260" i="18"/>
  <c r="AJ260" i="18" s="1"/>
  <c r="Y170" i="18"/>
  <c r="AJ170" i="18" s="1"/>
  <c r="Y332" i="18"/>
  <c r="AJ332" i="18" s="1"/>
  <c r="Y350" i="18"/>
  <c r="AJ350" i="18" s="1"/>
  <c r="Y224" i="18"/>
  <c r="AJ224" i="18" s="1"/>
  <c r="Y44" i="18"/>
  <c r="AJ44" i="18" s="1"/>
  <c r="Y89" i="18"/>
  <c r="AJ89" i="18" s="1"/>
  <c r="Y341" i="18"/>
  <c r="AJ341" i="18" s="1"/>
  <c r="Y107" i="18"/>
  <c r="AJ107" i="18" s="1"/>
  <c r="Y287" i="18"/>
  <c r="AJ287" i="18" s="1"/>
  <c r="Y143" i="18"/>
  <c r="AJ143" i="18" s="1"/>
  <c r="Y323" i="18"/>
  <c r="AJ323" i="18" s="1"/>
  <c r="Y197" i="18"/>
  <c r="AJ197" i="18" s="1"/>
  <c r="Y269" i="18"/>
  <c r="AJ269" i="18" s="1"/>
  <c r="Y125" i="18"/>
  <c r="AJ125" i="18" s="1"/>
  <c r="Y161" i="18"/>
  <c r="AJ161" i="18" s="1"/>
  <c r="Y179" i="18"/>
  <c r="AJ179" i="18" s="1"/>
  <c r="Y215" i="18"/>
  <c r="AJ215" i="18" s="1"/>
  <c r="Y35" i="18"/>
  <c r="AJ35" i="18" s="1"/>
  <c r="Y53" i="18"/>
  <c r="AJ53" i="18" s="1"/>
  <c r="Y71" i="18"/>
  <c r="AJ71" i="18" s="1"/>
  <c r="Y233" i="18"/>
  <c r="AJ233" i="18" s="1"/>
  <c r="Y305" i="18"/>
  <c r="AJ305" i="18" s="1"/>
  <c r="Y251" i="18"/>
  <c r="AJ251" i="18" s="1"/>
  <c r="AB154" i="18"/>
  <c r="AM154" i="18" s="1"/>
  <c r="AB244" i="18"/>
  <c r="AM244" i="18" s="1"/>
  <c r="AB172" i="18"/>
  <c r="AM172" i="18" s="1"/>
  <c r="AB262" i="18"/>
  <c r="AM262" i="18" s="1"/>
  <c r="AB64" i="18"/>
  <c r="AM64" i="18" s="1"/>
  <c r="AB298" i="18"/>
  <c r="AM298" i="18" s="1"/>
  <c r="AB316" i="18"/>
  <c r="AM316" i="18" s="1"/>
  <c r="AB118" i="18"/>
  <c r="AM118" i="18" s="1"/>
  <c r="AB334" i="18"/>
  <c r="AM334" i="18" s="1"/>
  <c r="AB190" i="18"/>
  <c r="AM190" i="18" s="1"/>
  <c r="AB352" i="18"/>
  <c r="AM352" i="18" s="1"/>
  <c r="AB226" i="18"/>
  <c r="AM226" i="18" s="1"/>
  <c r="AB100" i="18"/>
  <c r="AM100" i="18" s="1"/>
  <c r="AB82" i="18"/>
  <c r="AM82" i="18" s="1"/>
  <c r="AB136" i="18"/>
  <c r="AM136" i="18" s="1"/>
  <c r="AB46" i="18"/>
  <c r="AM46" i="18" s="1"/>
  <c r="AB280" i="18"/>
  <c r="AM280" i="18" s="1"/>
  <c r="AB208" i="18"/>
  <c r="AM208" i="18" s="1"/>
  <c r="T300" i="18"/>
  <c r="U21" i="13" s="1"/>
  <c r="U300" i="18"/>
  <c r="U39" i="13" s="1"/>
  <c r="T150" i="18"/>
  <c r="M15" i="13" s="1"/>
  <c r="U150" i="18"/>
  <c r="M33" i="13" s="1"/>
  <c r="T179" i="18"/>
  <c r="O9" i="13" s="1"/>
  <c r="U179" i="18"/>
  <c r="U254" i="18"/>
  <c r="T254" i="18"/>
  <c r="S12" i="13" s="1"/>
  <c r="U87" i="18"/>
  <c r="J25" i="13" s="1"/>
  <c r="T87" i="18"/>
  <c r="J7" i="13" s="1"/>
  <c r="U108" i="18"/>
  <c r="T108" i="18"/>
  <c r="K10" i="13" s="1"/>
  <c r="Y234" i="18"/>
  <c r="AJ234" i="18" s="1"/>
  <c r="Y144" i="18"/>
  <c r="AJ144" i="18" s="1"/>
  <c r="Y36" i="18"/>
  <c r="AJ36" i="18" s="1"/>
  <c r="Y252" i="18"/>
  <c r="AJ252" i="18" s="1"/>
  <c r="Y54" i="18"/>
  <c r="AJ54" i="18" s="1"/>
  <c r="Y270" i="18"/>
  <c r="AJ270" i="18" s="1"/>
  <c r="Y72" i="18"/>
  <c r="AJ72" i="18" s="1"/>
  <c r="Y342" i="18"/>
  <c r="AJ342" i="18" s="1"/>
  <c r="Y90" i="18"/>
  <c r="AJ90" i="18" s="1"/>
  <c r="Y288" i="18"/>
  <c r="AJ288" i="18" s="1"/>
  <c r="Y306" i="18"/>
  <c r="AJ306" i="18" s="1"/>
  <c r="Y324" i="18"/>
  <c r="AJ324" i="18" s="1"/>
  <c r="Y162" i="18"/>
  <c r="AJ162" i="18" s="1"/>
  <c r="Y126" i="18"/>
  <c r="AJ126" i="18" s="1"/>
  <c r="Y180" i="18"/>
  <c r="AJ180" i="18" s="1"/>
  <c r="Y216" i="18"/>
  <c r="AJ216" i="18" s="1"/>
  <c r="Y108" i="18"/>
  <c r="AJ108" i="18" s="1"/>
  <c r="Y198" i="18"/>
  <c r="AJ198" i="18" s="1"/>
  <c r="U192" i="18"/>
  <c r="O39" i="13" s="1"/>
  <c r="T192" i="18"/>
  <c r="O21" i="13" s="1"/>
  <c r="T269" i="18"/>
  <c r="T9" i="13" s="1"/>
  <c r="U269" i="18"/>
  <c r="AA93" i="18"/>
  <c r="AL93" i="18" s="1"/>
  <c r="AA165" i="18"/>
  <c r="AL165" i="18" s="1"/>
  <c r="AA318" i="18"/>
  <c r="AL318" i="18" s="1"/>
  <c r="AA219" i="18"/>
  <c r="AL219" i="18" s="1"/>
  <c r="AA102" i="18"/>
  <c r="AL102" i="18" s="1"/>
  <c r="AA174" i="18"/>
  <c r="AL174" i="18" s="1"/>
  <c r="AA228" i="18"/>
  <c r="AL228" i="18" s="1"/>
  <c r="AA327" i="18"/>
  <c r="AL327" i="18" s="1"/>
  <c r="AA120" i="18"/>
  <c r="AL120" i="18" s="1"/>
  <c r="AA192" i="18"/>
  <c r="AL192" i="18" s="1"/>
  <c r="AA291" i="18"/>
  <c r="AL291" i="18" s="1"/>
  <c r="AA210" i="18"/>
  <c r="AL210" i="18" s="1"/>
  <c r="AA75" i="18"/>
  <c r="AL75" i="18" s="1"/>
  <c r="AA147" i="18"/>
  <c r="AL147" i="18" s="1"/>
  <c r="AA336" i="18"/>
  <c r="AL336" i="18" s="1"/>
  <c r="AA273" i="18"/>
  <c r="AL273" i="18" s="1"/>
  <c r="AA111" i="18"/>
  <c r="AL111" i="18" s="1"/>
  <c r="AA255" i="18"/>
  <c r="AL255" i="18" s="1"/>
  <c r="AA129" i="18"/>
  <c r="AL129" i="18" s="1"/>
  <c r="AA246" i="18"/>
  <c r="AL246" i="18" s="1"/>
  <c r="AA138" i="18"/>
  <c r="AL138" i="18" s="1"/>
  <c r="AA282" i="18"/>
  <c r="AL282" i="18" s="1"/>
  <c r="AA66" i="18"/>
  <c r="AL66" i="18" s="1"/>
  <c r="AA309" i="18"/>
  <c r="AL309" i="18" s="1"/>
  <c r="AA264" i="18"/>
  <c r="AL264" i="18" s="1"/>
  <c r="AA300" i="18"/>
  <c r="AL300" i="18" s="1"/>
  <c r="AA354" i="18"/>
  <c r="AL354" i="18" s="1"/>
  <c r="AA57" i="18"/>
  <c r="AL57" i="18" s="1"/>
  <c r="AA237" i="18"/>
  <c r="AL237" i="18" s="1"/>
  <c r="AA84" i="18"/>
  <c r="AL84" i="18" s="1"/>
  <c r="AA156" i="18"/>
  <c r="AL156" i="18" s="1"/>
  <c r="AA39" i="18"/>
  <c r="AL39" i="18" s="1"/>
  <c r="AA183" i="18"/>
  <c r="AL183" i="18" s="1"/>
  <c r="AA48" i="18"/>
  <c r="AL48" i="18" s="1"/>
  <c r="AA201" i="18"/>
  <c r="AL201" i="18" s="1"/>
  <c r="AA345" i="18"/>
  <c r="AL345" i="18" s="1"/>
  <c r="AB164" i="18"/>
  <c r="AM164" i="18" s="1"/>
  <c r="AB200" i="18"/>
  <c r="AM200" i="18" s="1"/>
  <c r="AB74" i="18"/>
  <c r="AM74" i="18" s="1"/>
  <c r="AB344" i="18"/>
  <c r="AM344" i="18" s="1"/>
  <c r="AB92" i="18"/>
  <c r="AM92" i="18" s="1"/>
  <c r="AB326" i="18"/>
  <c r="AM326" i="18" s="1"/>
  <c r="AB128" i="18"/>
  <c r="AM128" i="18" s="1"/>
  <c r="AB182" i="18"/>
  <c r="AM182" i="18" s="1"/>
  <c r="AB218" i="18"/>
  <c r="AM218" i="18" s="1"/>
  <c r="AB56" i="18"/>
  <c r="AM56" i="18" s="1"/>
  <c r="AB236" i="18"/>
  <c r="AM236" i="18" s="1"/>
  <c r="AB308" i="18"/>
  <c r="AM308" i="18" s="1"/>
  <c r="AB38" i="18"/>
  <c r="AM38" i="18" s="1"/>
  <c r="AB254" i="18"/>
  <c r="AM254" i="18" s="1"/>
  <c r="AB272" i="18"/>
  <c r="AM272" i="18" s="1"/>
  <c r="AB110" i="18"/>
  <c r="AM110" i="18" s="1"/>
  <c r="AB146" i="18"/>
  <c r="AM146" i="18" s="1"/>
  <c r="AB290" i="18"/>
  <c r="AM290" i="18" s="1"/>
  <c r="Z165" i="18"/>
  <c r="AK165" i="18" s="1"/>
  <c r="Z183" i="18"/>
  <c r="AK183" i="18" s="1"/>
  <c r="Z219" i="18"/>
  <c r="AK219" i="18" s="1"/>
  <c r="Z291" i="18"/>
  <c r="AK291" i="18" s="1"/>
  <c r="Z57" i="18"/>
  <c r="AK57" i="18" s="1"/>
  <c r="Z255" i="18"/>
  <c r="AK255" i="18" s="1"/>
  <c r="Z129" i="18"/>
  <c r="AK129" i="18" s="1"/>
  <c r="Z147" i="18"/>
  <c r="AK147" i="18" s="1"/>
  <c r="Z345" i="18"/>
  <c r="AK345" i="18" s="1"/>
  <c r="Z237" i="18"/>
  <c r="AK237" i="18" s="1"/>
  <c r="Z273" i="18"/>
  <c r="AK273" i="18" s="1"/>
  <c r="Z309" i="18"/>
  <c r="AK309" i="18" s="1"/>
  <c r="Z201" i="18"/>
  <c r="AK201" i="18" s="1"/>
  <c r="Z111" i="18"/>
  <c r="AK111" i="18" s="1"/>
  <c r="Z327" i="18"/>
  <c r="AK327" i="18" s="1"/>
  <c r="Z39" i="18"/>
  <c r="AK39" i="18" s="1"/>
  <c r="Z93" i="18"/>
  <c r="AK93" i="18" s="1"/>
  <c r="Z75" i="18"/>
  <c r="AK75" i="18" s="1"/>
  <c r="Z232" i="18"/>
  <c r="AK232" i="18" s="1"/>
  <c r="Z304" i="18"/>
  <c r="AK304" i="18" s="1"/>
  <c r="Z250" i="18"/>
  <c r="AK250" i="18" s="1"/>
  <c r="Z322" i="18"/>
  <c r="AK322" i="18" s="1"/>
  <c r="Z88" i="18"/>
  <c r="AK88" i="18" s="1"/>
  <c r="Z286" i="18"/>
  <c r="AK286" i="18" s="1"/>
  <c r="Z142" i="18"/>
  <c r="AK142" i="18" s="1"/>
  <c r="Z178" i="18"/>
  <c r="AK178" i="18" s="1"/>
  <c r="Z70" i="18"/>
  <c r="AK70" i="18" s="1"/>
  <c r="Z106" i="18"/>
  <c r="AK106" i="18" s="1"/>
  <c r="Z124" i="18"/>
  <c r="AK124" i="18" s="1"/>
  <c r="Z340" i="18"/>
  <c r="AK340" i="18" s="1"/>
  <c r="Z34" i="18"/>
  <c r="AK34" i="18" s="1"/>
  <c r="Z52" i="18"/>
  <c r="AK52" i="18" s="1"/>
  <c r="Z214" i="18"/>
  <c r="AK214" i="18" s="1"/>
  <c r="Z268" i="18"/>
  <c r="AK268" i="18" s="1"/>
  <c r="Z196" i="18"/>
  <c r="AK196" i="18" s="1"/>
  <c r="Z160" i="18"/>
  <c r="AK160" i="18" s="1"/>
  <c r="T286" i="18"/>
  <c r="U8" i="13" s="1"/>
  <c r="U286" i="18"/>
  <c r="U26" i="13" s="1"/>
  <c r="T57" i="18"/>
  <c r="H13" i="13" s="1"/>
  <c r="U57" i="18"/>
  <c r="AA250" i="18"/>
  <c r="AL250" i="18" s="1"/>
  <c r="AA322" i="18"/>
  <c r="AL322" i="18" s="1"/>
  <c r="AA268" i="18"/>
  <c r="AL268" i="18" s="1"/>
  <c r="AA106" i="18"/>
  <c r="AL106" i="18" s="1"/>
  <c r="AA232" i="18"/>
  <c r="AL232" i="18" s="1"/>
  <c r="AA52" i="18"/>
  <c r="AL52" i="18" s="1"/>
  <c r="AA286" i="18"/>
  <c r="AL286" i="18" s="1"/>
  <c r="AA34" i="18"/>
  <c r="AL34" i="18" s="1"/>
  <c r="AA70" i="18"/>
  <c r="AL70" i="18" s="1"/>
  <c r="AA196" i="18"/>
  <c r="AL196" i="18" s="1"/>
  <c r="AA160" i="18"/>
  <c r="AL160" i="18" s="1"/>
  <c r="AA340" i="18"/>
  <c r="AL340" i="18" s="1"/>
  <c r="AA124" i="18"/>
  <c r="AL124" i="18" s="1"/>
  <c r="AA214" i="18"/>
  <c r="AL214" i="18" s="1"/>
  <c r="AA142" i="18"/>
  <c r="AL142" i="18" s="1"/>
  <c r="AA88" i="18"/>
  <c r="AL88" i="18" s="1"/>
  <c r="AA178" i="18"/>
  <c r="AL178" i="18" s="1"/>
  <c r="AA304" i="18"/>
  <c r="AL304" i="18" s="1"/>
  <c r="U42" i="18"/>
  <c r="G33" i="13" s="1"/>
  <c r="T42" i="18"/>
  <c r="G15" i="13" s="1"/>
  <c r="Z271" i="18"/>
  <c r="AK271" i="18" s="1"/>
  <c r="Z343" i="18"/>
  <c r="AK343" i="18" s="1"/>
  <c r="Z55" i="18"/>
  <c r="AK55" i="18" s="1"/>
  <c r="Z181" i="18"/>
  <c r="AK181" i="18" s="1"/>
  <c r="Z289" i="18"/>
  <c r="AK289" i="18" s="1"/>
  <c r="Z109" i="18"/>
  <c r="AK109" i="18" s="1"/>
  <c r="Z163" i="18"/>
  <c r="AK163" i="18" s="1"/>
  <c r="Z235" i="18"/>
  <c r="AK235" i="18" s="1"/>
  <c r="Z145" i="18"/>
  <c r="AK145" i="18" s="1"/>
  <c r="Z73" i="18"/>
  <c r="AK73" i="18" s="1"/>
  <c r="Z199" i="18"/>
  <c r="AK199" i="18" s="1"/>
  <c r="Z217" i="18"/>
  <c r="AK217" i="18" s="1"/>
  <c r="Z325" i="18"/>
  <c r="AK325" i="18" s="1"/>
  <c r="Z37" i="18"/>
  <c r="AK37" i="18" s="1"/>
  <c r="Z307" i="18"/>
  <c r="AK307" i="18" s="1"/>
  <c r="Z91" i="18"/>
  <c r="AK91" i="18" s="1"/>
  <c r="Z253" i="18"/>
  <c r="AK253" i="18" s="1"/>
  <c r="Z127" i="18"/>
  <c r="AK127" i="18" s="1"/>
  <c r="U52" i="18"/>
  <c r="H26" i="13" s="1"/>
  <c r="T52" i="18"/>
  <c r="H8" i="13" s="1"/>
  <c r="U314" i="18"/>
  <c r="V35" i="13" s="1"/>
  <c r="T314" i="18"/>
  <c r="V17" i="13" s="1"/>
  <c r="U88" i="18"/>
  <c r="J26" i="13" s="1"/>
  <c r="T88" i="18"/>
  <c r="J8" i="13" s="1"/>
  <c r="Z107" i="18"/>
  <c r="AK107" i="18" s="1"/>
  <c r="Z305" i="18"/>
  <c r="AK305" i="18" s="1"/>
  <c r="Z53" i="18"/>
  <c r="AK53" i="18" s="1"/>
  <c r="Z215" i="18"/>
  <c r="AK215" i="18" s="1"/>
  <c r="Z287" i="18"/>
  <c r="AK287" i="18" s="1"/>
  <c r="Z71" i="18"/>
  <c r="AK71" i="18" s="1"/>
  <c r="Z323" i="18"/>
  <c r="AK323" i="18" s="1"/>
  <c r="Z143" i="18"/>
  <c r="AK143" i="18" s="1"/>
  <c r="Z161" i="18"/>
  <c r="AK161" i="18" s="1"/>
  <c r="Z89" i="18"/>
  <c r="AK89" i="18" s="1"/>
  <c r="Z197" i="18"/>
  <c r="AK197" i="18" s="1"/>
  <c r="Z179" i="18"/>
  <c r="AK179" i="18" s="1"/>
  <c r="Z341" i="18"/>
  <c r="AK341" i="18" s="1"/>
  <c r="Z125" i="18"/>
  <c r="AK125" i="18" s="1"/>
  <c r="Z233" i="18"/>
  <c r="AK233" i="18" s="1"/>
  <c r="Z35" i="18"/>
  <c r="AK35" i="18" s="1"/>
  <c r="Z251" i="18"/>
  <c r="AK251" i="18" s="1"/>
  <c r="Z269" i="18"/>
  <c r="AK269" i="18" s="1"/>
  <c r="U249" i="18"/>
  <c r="S25" i="13" s="1"/>
  <c r="T249" i="18"/>
  <c r="S7" i="13" s="1"/>
  <c r="AC177" i="18"/>
  <c r="AN177" i="18" s="1"/>
  <c r="AC267" i="18"/>
  <c r="AN267" i="18" s="1"/>
  <c r="AC123" i="18"/>
  <c r="AN123" i="18" s="1"/>
  <c r="AC285" i="18"/>
  <c r="AN285" i="18" s="1"/>
  <c r="AC69" i="18"/>
  <c r="AN69" i="18" s="1"/>
  <c r="AC141" i="18"/>
  <c r="AN141" i="18" s="1"/>
  <c r="AC105" i="18"/>
  <c r="AN105" i="18" s="1"/>
  <c r="AC231" i="18"/>
  <c r="AN231" i="18" s="1"/>
  <c r="AC339" i="18"/>
  <c r="AN339" i="18" s="1"/>
  <c r="AC321" i="18"/>
  <c r="AN321" i="18" s="1"/>
  <c r="AC213" i="18"/>
  <c r="AN213" i="18" s="1"/>
  <c r="AC195" i="18"/>
  <c r="AN195" i="18" s="1"/>
  <c r="AC249" i="18"/>
  <c r="AN249" i="18" s="1"/>
  <c r="AC303" i="18"/>
  <c r="AN303" i="18" s="1"/>
  <c r="AC33" i="18"/>
  <c r="AN33" i="18" s="1"/>
  <c r="AC51" i="18"/>
  <c r="AN51" i="18" s="1"/>
  <c r="AC87" i="18"/>
  <c r="AN87" i="18" s="1"/>
  <c r="AC159" i="18"/>
  <c r="AN159" i="18" s="1"/>
  <c r="AB243" i="18"/>
  <c r="AM243" i="18" s="1"/>
  <c r="AB81" i="18"/>
  <c r="AM81" i="18" s="1"/>
  <c r="AB207" i="18"/>
  <c r="AM207" i="18" s="1"/>
  <c r="AB351" i="18"/>
  <c r="AM351" i="18" s="1"/>
  <c r="AB225" i="18"/>
  <c r="AM225" i="18" s="1"/>
  <c r="AB333" i="18"/>
  <c r="AM333" i="18" s="1"/>
  <c r="AB261" i="18"/>
  <c r="AM261" i="18" s="1"/>
  <c r="AB297" i="18"/>
  <c r="AM297" i="18" s="1"/>
  <c r="AB279" i="18"/>
  <c r="AM279" i="18" s="1"/>
  <c r="AB153" i="18"/>
  <c r="AM153" i="18" s="1"/>
  <c r="AB45" i="18"/>
  <c r="AM45" i="18" s="1"/>
  <c r="AB189" i="18"/>
  <c r="AM189" i="18" s="1"/>
  <c r="AB315" i="18"/>
  <c r="AM315" i="18" s="1"/>
  <c r="AB135" i="18"/>
  <c r="AM135" i="18" s="1"/>
  <c r="AB171" i="18"/>
  <c r="AM171" i="18" s="1"/>
  <c r="AB63" i="18"/>
  <c r="AM63" i="18" s="1"/>
  <c r="AB117" i="18"/>
  <c r="AM117" i="18" s="1"/>
  <c r="AB99" i="18"/>
  <c r="AM99" i="18" s="1"/>
  <c r="T276" i="18"/>
  <c r="T15" i="13" s="1"/>
  <c r="U276" i="18"/>
  <c r="T33" i="13" s="1"/>
  <c r="U209" i="18"/>
  <c r="P38" i="13" s="1"/>
  <c r="T209" i="18"/>
  <c r="P20" i="13" s="1"/>
  <c r="U160" i="18"/>
  <c r="N26" i="13" s="1"/>
  <c r="T160" i="18"/>
  <c r="N8" i="13" s="1"/>
  <c r="U98" i="18"/>
  <c r="J35" i="13" s="1"/>
  <c r="T98" i="18"/>
  <c r="J17" i="13" s="1"/>
  <c r="T56" i="18"/>
  <c r="H12" i="13" s="1"/>
  <c r="U56" i="18"/>
  <c r="Z258" i="18"/>
  <c r="AK258" i="18" s="1"/>
  <c r="Z114" i="18"/>
  <c r="AK114" i="18" s="1"/>
  <c r="Z276" i="18"/>
  <c r="AK276" i="18" s="1"/>
  <c r="Z312" i="18"/>
  <c r="AK312" i="18" s="1"/>
  <c r="Z204" i="18"/>
  <c r="AK204" i="18" s="1"/>
  <c r="Z60" i="18"/>
  <c r="AK60" i="18" s="1"/>
  <c r="Z294" i="18"/>
  <c r="AK294" i="18" s="1"/>
  <c r="Z78" i="18"/>
  <c r="AK78" i="18" s="1"/>
  <c r="Z348" i="18"/>
  <c r="AK348" i="18" s="1"/>
  <c r="Z132" i="18"/>
  <c r="AK132" i="18" s="1"/>
  <c r="Z96" i="18"/>
  <c r="AK96" i="18" s="1"/>
  <c r="Z186" i="18"/>
  <c r="AK186" i="18" s="1"/>
  <c r="Z222" i="18"/>
  <c r="AK222" i="18" s="1"/>
  <c r="Z42" i="18"/>
  <c r="AK42" i="18" s="1"/>
  <c r="Z240" i="18"/>
  <c r="AK240" i="18" s="1"/>
  <c r="Z150" i="18"/>
  <c r="AK150" i="18" s="1"/>
  <c r="Z168" i="18"/>
  <c r="AK168" i="18" s="1"/>
  <c r="Z330" i="18"/>
  <c r="AK330" i="18" s="1"/>
  <c r="T341" i="18"/>
  <c r="X9" i="13" s="1"/>
  <c r="U341" i="18"/>
  <c r="U162" i="18"/>
  <c r="T162" i="18"/>
  <c r="N10" i="13" s="1"/>
  <c r="Z245" i="18"/>
  <c r="AK245" i="18" s="1"/>
  <c r="Z173" i="18"/>
  <c r="AK173" i="18" s="1"/>
  <c r="Z65" i="18"/>
  <c r="AK65" i="18" s="1"/>
  <c r="Z263" i="18"/>
  <c r="AK263" i="18" s="1"/>
  <c r="Z335" i="18"/>
  <c r="AK335" i="18" s="1"/>
  <c r="Z83" i="18"/>
  <c r="AK83" i="18" s="1"/>
  <c r="Z281" i="18"/>
  <c r="AK281" i="18" s="1"/>
  <c r="Z209" i="18"/>
  <c r="AK209" i="18" s="1"/>
  <c r="Z191" i="18"/>
  <c r="AK191" i="18" s="1"/>
  <c r="Z155" i="18"/>
  <c r="AK155" i="18" s="1"/>
  <c r="Z353" i="18"/>
  <c r="AK353" i="18" s="1"/>
  <c r="Z299" i="18"/>
  <c r="AK299" i="18" s="1"/>
  <c r="Z47" i="18"/>
  <c r="AK47" i="18" s="1"/>
  <c r="Z317" i="18"/>
  <c r="AK317" i="18" s="1"/>
  <c r="Z227" i="18"/>
  <c r="AK227" i="18" s="1"/>
  <c r="Z101" i="18"/>
  <c r="AK101" i="18" s="1"/>
  <c r="Z119" i="18"/>
  <c r="AK119" i="18" s="1"/>
  <c r="Z137" i="18"/>
  <c r="AK137" i="18" s="1"/>
  <c r="U33" i="18"/>
  <c r="G25" i="13" s="1"/>
  <c r="T33" i="18"/>
  <c r="G7" i="13" s="1"/>
  <c r="X75" i="18"/>
  <c r="X345" i="18"/>
  <c r="AI345" i="18" s="1"/>
  <c r="X93" i="18"/>
  <c r="X291" i="18"/>
  <c r="AI291" i="18" s="1"/>
  <c r="X201" i="18"/>
  <c r="AI201" i="18" s="1"/>
  <c r="X255" i="18"/>
  <c r="AI255" i="18" s="1"/>
  <c r="X57" i="18"/>
  <c r="X219" i="18"/>
  <c r="AI219" i="18" s="1"/>
  <c r="X111" i="18"/>
  <c r="AI111" i="18" s="1"/>
  <c r="X273" i="18"/>
  <c r="AI273" i="18" s="1"/>
  <c r="X129" i="18"/>
  <c r="AI129" i="18" s="1"/>
  <c r="X147" i="18"/>
  <c r="AI147" i="18" s="1"/>
  <c r="X237" i="18"/>
  <c r="AI237" i="18" s="1"/>
  <c r="X165" i="18"/>
  <c r="AI165" i="18" s="1"/>
  <c r="T21" i="18"/>
  <c r="F13" i="13" s="1"/>
  <c r="X327" i="18"/>
  <c r="AI327" i="18" s="1"/>
  <c r="X183" i="18"/>
  <c r="AI183" i="18" s="1"/>
  <c r="X39" i="18"/>
  <c r="U21" i="18"/>
  <c r="F31" i="13" s="1"/>
  <c r="X309" i="18"/>
  <c r="AI309" i="18" s="1"/>
  <c r="T271" i="18"/>
  <c r="T11" i="13" s="1"/>
  <c r="U271" i="18"/>
  <c r="U295" i="18"/>
  <c r="U34" i="13" s="1"/>
  <c r="T295" i="18"/>
  <c r="U16" i="13" s="1"/>
  <c r="T309" i="18"/>
  <c r="V13" i="13" s="1"/>
  <c r="U309" i="18"/>
  <c r="T53" i="18"/>
  <c r="H9" i="13" s="1"/>
  <c r="U53" i="18"/>
  <c r="U190" i="18"/>
  <c r="O37" i="13" s="1"/>
  <c r="T190" i="18"/>
  <c r="O19" i="13" s="1"/>
  <c r="X32" i="18"/>
  <c r="X320" i="18"/>
  <c r="AI320" i="18" s="1"/>
  <c r="X194" i="18"/>
  <c r="AI194" i="18" s="1"/>
  <c r="X248" i="18"/>
  <c r="AI248" i="18" s="1"/>
  <c r="X104" i="18"/>
  <c r="AI104" i="18" s="1"/>
  <c r="X266" i="18"/>
  <c r="AI266" i="18" s="1"/>
  <c r="X68" i="18"/>
  <c r="X284" i="18"/>
  <c r="AI284" i="18" s="1"/>
  <c r="X158" i="18"/>
  <c r="AI158" i="18" s="1"/>
  <c r="X302" i="18"/>
  <c r="AI302" i="18" s="1"/>
  <c r="X338" i="18"/>
  <c r="AI338" i="18" s="1"/>
  <c r="X50" i="18"/>
  <c r="T14" i="18"/>
  <c r="F6" i="13" s="1"/>
  <c r="U14" i="18"/>
  <c r="F24" i="13" s="1"/>
  <c r="X176" i="18"/>
  <c r="AI176" i="18" s="1"/>
  <c r="X212" i="18"/>
  <c r="AI212" i="18" s="1"/>
  <c r="X86" i="18"/>
  <c r="X122" i="18"/>
  <c r="AI122" i="18" s="1"/>
  <c r="X140" i="18"/>
  <c r="AI140" i="18" s="1"/>
  <c r="X230" i="18"/>
  <c r="AI230" i="18" s="1"/>
  <c r="T228" i="18"/>
  <c r="Q21" i="13" s="1"/>
  <c r="U228" i="18"/>
  <c r="Q39" i="13" s="1"/>
  <c r="U289" i="18"/>
  <c r="T289" i="18"/>
  <c r="U11" i="13" s="1"/>
  <c r="U335" i="18"/>
  <c r="W38" i="13" s="1"/>
  <c r="T335" i="18"/>
  <c r="W20" i="13" s="1"/>
  <c r="U154" i="18"/>
  <c r="M37" i="13" s="1"/>
  <c r="T154" i="18"/>
  <c r="M19" i="13" s="1"/>
  <c r="T267" i="18"/>
  <c r="T7" i="13" s="1"/>
  <c r="U267" i="18"/>
  <c r="T25" i="13" s="1"/>
  <c r="T236" i="18"/>
  <c r="R12" i="13" s="1"/>
  <c r="U236" i="18"/>
  <c r="T285" i="18"/>
  <c r="U7" i="13" s="1"/>
  <c r="U285" i="18"/>
  <c r="U25" i="13" s="1"/>
  <c r="X277" i="18"/>
  <c r="AI277" i="18" s="1"/>
  <c r="X79" i="18"/>
  <c r="X43" i="18"/>
  <c r="X295" i="18"/>
  <c r="AI295" i="18" s="1"/>
  <c r="X97" i="18"/>
  <c r="X169" i="18"/>
  <c r="AI169" i="18" s="1"/>
  <c r="X205" i="18"/>
  <c r="AI205" i="18" s="1"/>
  <c r="X223" i="18"/>
  <c r="AI223" i="18" s="1"/>
  <c r="X133" i="18"/>
  <c r="AI133" i="18" s="1"/>
  <c r="U25" i="18"/>
  <c r="F34" i="13" s="1"/>
  <c r="X241" i="18"/>
  <c r="AI241" i="18" s="1"/>
  <c r="X151" i="18"/>
  <c r="AI151" i="18" s="1"/>
  <c r="T25" i="18"/>
  <c r="F16" i="13" s="1"/>
  <c r="X259" i="18"/>
  <c r="AI259" i="18" s="1"/>
  <c r="X313" i="18"/>
  <c r="AI313" i="18" s="1"/>
  <c r="X331" i="18"/>
  <c r="AI331" i="18" s="1"/>
  <c r="X61" i="18"/>
  <c r="X349" i="18"/>
  <c r="AI349" i="18" s="1"/>
  <c r="X115" i="18"/>
  <c r="AI115" i="18" s="1"/>
  <c r="X187" i="18"/>
  <c r="AI187" i="18" s="1"/>
  <c r="U259" i="18"/>
  <c r="S34" i="13" s="1"/>
  <c r="T259" i="18"/>
  <c r="S16" i="13" s="1"/>
  <c r="U234" i="18"/>
  <c r="T234" i="18"/>
  <c r="R10" i="13" s="1"/>
  <c r="U171" i="18"/>
  <c r="N36" i="13" s="1"/>
  <c r="T171" i="18"/>
  <c r="N18" i="13" s="1"/>
  <c r="T275" i="18"/>
  <c r="T14" i="13" s="1"/>
  <c r="U275" i="18"/>
  <c r="T32" i="13" s="1"/>
  <c r="U173" i="18"/>
  <c r="N38" i="13" s="1"/>
  <c r="T173" i="18"/>
  <c r="N20" i="13" s="1"/>
  <c r="T251" i="18"/>
  <c r="S9" i="13" s="1"/>
  <c r="U251" i="18"/>
  <c r="T124" i="18"/>
  <c r="L8" i="13" s="1"/>
  <c r="U124" i="18"/>
  <c r="L26" i="13" s="1"/>
  <c r="T81" i="18"/>
  <c r="I18" i="13" s="1"/>
  <c r="U81" i="18"/>
  <c r="I36" i="13" s="1"/>
  <c r="T294" i="18"/>
  <c r="U15" i="13" s="1"/>
  <c r="U294" i="18"/>
  <c r="U33" i="13" s="1"/>
  <c r="U102" i="18"/>
  <c r="J39" i="13" s="1"/>
  <c r="T102" i="18"/>
  <c r="J21" i="13" s="1"/>
  <c r="U330" i="18"/>
  <c r="W33" i="13" s="1"/>
  <c r="T330" i="18"/>
  <c r="W15" i="13" s="1"/>
  <c r="T291" i="18"/>
  <c r="U13" i="13" s="1"/>
  <c r="U291" i="18"/>
  <c r="U43" i="18"/>
  <c r="G34" i="13" s="1"/>
  <c r="T43" i="18"/>
  <c r="G16" i="13" s="1"/>
  <c r="U109" i="18"/>
  <c r="T109" i="18"/>
  <c r="K11" i="13" s="1"/>
  <c r="Z54" i="18"/>
  <c r="AK54" i="18" s="1"/>
  <c r="Z252" i="18"/>
  <c r="AK252" i="18" s="1"/>
  <c r="Z180" i="18"/>
  <c r="AK180" i="18" s="1"/>
  <c r="Z72" i="18"/>
  <c r="AK72" i="18" s="1"/>
  <c r="Z270" i="18"/>
  <c r="AK270" i="18" s="1"/>
  <c r="Z108" i="18"/>
  <c r="AK108" i="18" s="1"/>
  <c r="Z342" i="18"/>
  <c r="AK342" i="18" s="1"/>
  <c r="Z216" i="18"/>
  <c r="AK216" i="18" s="1"/>
  <c r="Z198" i="18"/>
  <c r="AK198" i="18" s="1"/>
  <c r="Z90" i="18"/>
  <c r="AK90" i="18" s="1"/>
  <c r="Z126" i="18"/>
  <c r="AK126" i="18" s="1"/>
  <c r="Z144" i="18"/>
  <c r="AK144" i="18" s="1"/>
  <c r="Z324" i="18"/>
  <c r="AK324" i="18" s="1"/>
  <c r="Z162" i="18"/>
  <c r="AK162" i="18" s="1"/>
  <c r="Z306" i="18"/>
  <c r="AK306" i="18" s="1"/>
  <c r="Z234" i="18"/>
  <c r="AK234" i="18" s="1"/>
  <c r="Z36" i="18"/>
  <c r="AK36" i="18" s="1"/>
  <c r="Z288" i="18"/>
  <c r="AK288" i="18" s="1"/>
  <c r="U120" i="18"/>
  <c r="K39" i="13" s="1"/>
  <c r="T120" i="18"/>
  <c r="K21" i="13" s="1"/>
  <c r="X257" i="18"/>
  <c r="AI257" i="18" s="1"/>
  <c r="X149" i="18"/>
  <c r="AI149" i="18" s="1"/>
  <c r="X347" i="18"/>
  <c r="AI347" i="18" s="1"/>
  <c r="U23" i="18"/>
  <c r="F32" i="13" s="1"/>
  <c r="X113" i="18"/>
  <c r="AI113" i="18" s="1"/>
  <c r="X59" i="18"/>
  <c r="T23" i="18"/>
  <c r="F14" i="13" s="1"/>
  <c r="X221" i="18"/>
  <c r="AI221" i="18" s="1"/>
  <c r="X95" i="18"/>
  <c r="AI95" i="18" s="1"/>
  <c r="X239" i="18"/>
  <c r="AI239" i="18" s="1"/>
  <c r="X203" i="18"/>
  <c r="AI203" i="18" s="1"/>
  <c r="X275" i="18"/>
  <c r="AI275" i="18" s="1"/>
  <c r="X293" i="18"/>
  <c r="AI293" i="18" s="1"/>
  <c r="X77" i="18"/>
  <c r="X311" i="18"/>
  <c r="AI311" i="18" s="1"/>
  <c r="X41" i="18"/>
  <c r="X329" i="18"/>
  <c r="AI329" i="18" s="1"/>
  <c r="X131" i="18"/>
  <c r="AI131" i="18" s="1"/>
  <c r="X185" i="18"/>
  <c r="AI185" i="18" s="1"/>
  <c r="X167" i="18"/>
  <c r="AI167" i="18" s="1"/>
  <c r="T68" i="18"/>
  <c r="I6" i="13" s="1"/>
  <c r="U68" i="18"/>
  <c r="I24" i="13" s="1"/>
  <c r="T342" i="18"/>
  <c r="X10" i="13" s="1"/>
  <c r="U342" i="18"/>
  <c r="Z120" i="18"/>
  <c r="AK120" i="18" s="1"/>
  <c r="Z138" i="18"/>
  <c r="AK138" i="18" s="1"/>
  <c r="Z84" i="18"/>
  <c r="AK84" i="18" s="1"/>
  <c r="Z336" i="18"/>
  <c r="AK336" i="18" s="1"/>
  <c r="Z192" i="18"/>
  <c r="AK192" i="18" s="1"/>
  <c r="Z174" i="18"/>
  <c r="AK174" i="18" s="1"/>
  <c r="Z264" i="18"/>
  <c r="AK264" i="18" s="1"/>
  <c r="Z300" i="18"/>
  <c r="AK300" i="18" s="1"/>
  <c r="Z102" i="18"/>
  <c r="AK102" i="18" s="1"/>
  <c r="Z156" i="18"/>
  <c r="AK156" i="18" s="1"/>
  <c r="Z48" i="18"/>
  <c r="AK48" i="18" s="1"/>
  <c r="Z318" i="18"/>
  <c r="AK318" i="18" s="1"/>
  <c r="Z66" i="18"/>
  <c r="AK66" i="18" s="1"/>
  <c r="Z354" i="18"/>
  <c r="AK354" i="18" s="1"/>
  <c r="Z228" i="18"/>
  <c r="AK228" i="18" s="1"/>
  <c r="Z282" i="18"/>
  <c r="AK282" i="18" s="1"/>
  <c r="Z210" i="18"/>
  <c r="AK210" i="18" s="1"/>
  <c r="Z246" i="18"/>
  <c r="AK246" i="18" s="1"/>
  <c r="T219" i="18"/>
  <c r="Q13" i="13" s="1"/>
  <c r="U219" i="18"/>
  <c r="Q31" i="13" s="1"/>
  <c r="AC99" i="18"/>
  <c r="AN99" i="18" s="1"/>
  <c r="AC189" i="18"/>
  <c r="AN189" i="18" s="1"/>
  <c r="AC153" i="18"/>
  <c r="AN153" i="18" s="1"/>
  <c r="AC315" i="18"/>
  <c r="AN315" i="18" s="1"/>
  <c r="AC63" i="18"/>
  <c r="AN63" i="18" s="1"/>
  <c r="AC279" i="18"/>
  <c r="AN279" i="18" s="1"/>
  <c r="AC207" i="18"/>
  <c r="AN207" i="18" s="1"/>
  <c r="AC45" i="18"/>
  <c r="AN45" i="18" s="1"/>
  <c r="AC225" i="18"/>
  <c r="AN225" i="18" s="1"/>
  <c r="AC243" i="18"/>
  <c r="AN243" i="18" s="1"/>
  <c r="AC261" i="18"/>
  <c r="AN261" i="18" s="1"/>
  <c r="AC297" i="18"/>
  <c r="AN297" i="18" s="1"/>
  <c r="AC135" i="18"/>
  <c r="AN135" i="18" s="1"/>
  <c r="AC351" i="18"/>
  <c r="AN351" i="18" s="1"/>
  <c r="AC171" i="18"/>
  <c r="AN171" i="18" s="1"/>
  <c r="AC333" i="18"/>
  <c r="AN333" i="18" s="1"/>
  <c r="AC81" i="18"/>
  <c r="AN81" i="18" s="1"/>
  <c r="AC117" i="18"/>
  <c r="AN117" i="18" s="1"/>
  <c r="AC192" i="18"/>
  <c r="AN192" i="18" s="1"/>
  <c r="AC336" i="18"/>
  <c r="AN336" i="18" s="1"/>
  <c r="AC156" i="18"/>
  <c r="AN156" i="18" s="1"/>
  <c r="AC102" i="18"/>
  <c r="AN102" i="18" s="1"/>
  <c r="AC138" i="18"/>
  <c r="AN138" i="18" s="1"/>
  <c r="AC318" i="18"/>
  <c r="AN318" i="18" s="1"/>
  <c r="AC174" i="18"/>
  <c r="AN174" i="18" s="1"/>
  <c r="AC264" i="18"/>
  <c r="AN264" i="18" s="1"/>
  <c r="AC354" i="18"/>
  <c r="AN354" i="18" s="1"/>
  <c r="AC66" i="18"/>
  <c r="AN66" i="18" s="1"/>
  <c r="AC300" i="18"/>
  <c r="AN300" i="18" s="1"/>
  <c r="AC48" i="18"/>
  <c r="AN48" i="18" s="1"/>
  <c r="AC84" i="18"/>
  <c r="AN84" i="18" s="1"/>
  <c r="AC120" i="18"/>
  <c r="AN120" i="18" s="1"/>
  <c r="AC210" i="18"/>
  <c r="AN210" i="18" s="1"/>
  <c r="AC228" i="18"/>
  <c r="AN228" i="18" s="1"/>
  <c r="AC246" i="18"/>
  <c r="AN246" i="18" s="1"/>
  <c r="AC282" i="18"/>
  <c r="AN282" i="18" s="1"/>
  <c r="U224" i="18"/>
  <c r="Q35" i="13" s="1"/>
  <c r="T224" i="18"/>
  <c r="Q17" i="13" s="1"/>
  <c r="U119" i="18"/>
  <c r="K38" i="13" s="1"/>
  <c r="T119" i="18"/>
  <c r="K20" i="13" s="1"/>
  <c r="T293" i="18"/>
  <c r="U14" i="13" s="1"/>
  <c r="U293" i="18"/>
  <c r="U32" i="13" s="1"/>
  <c r="T347" i="18"/>
  <c r="X14" i="13" s="1"/>
  <c r="U347" i="18"/>
  <c r="X32" i="13" s="1"/>
  <c r="T213" i="18"/>
  <c r="Q7" i="13" s="1"/>
  <c r="U213" i="18"/>
  <c r="Q25" i="13" s="1"/>
  <c r="U137" i="18"/>
  <c r="L38" i="13" s="1"/>
  <c r="T137" i="18"/>
  <c r="L20" i="13" s="1"/>
  <c r="AB57" i="18"/>
  <c r="AM57" i="18" s="1"/>
  <c r="AB201" i="18"/>
  <c r="AM201" i="18" s="1"/>
  <c r="AB327" i="18"/>
  <c r="AM327" i="18" s="1"/>
  <c r="AB75" i="18"/>
  <c r="AM75" i="18" s="1"/>
  <c r="AB219" i="18"/>
  <c r="AM219" i="18" s="1"/>
  <c r="AB255" i="18"/>
  <c r="AM255" i="18" s="1"/>
  <c r="AB93" i="18"/>
  <c r="AM93" i="18" s="1"/>
  <c r="AB273" i="18"/>
  <c r="AM273" i="18" s="1"/>
  <c r="AB111" i="18"/>
  <c r="AM111" i="18" s="1"/>
  <c r="AB309" i="18"/>
  <c r="AM309" i="18" s="1"/>
  <c r="AB129" i="18"/>
  <c r="AM129" i="18" s="1"/>
  <c r="AB291" i="18"/>
  <c r="AM291" i="18" s="1"/>
  <c r="AB39" i="18"/>
  <c r="AM39" i="18" s="1"/>
  <c r="AB345" i="18"/>
  <c r="AM345" i="18" s="1"/>
  <c r="AB147" i="18"/>
  <c r="AM147" i="18" s="1"/>
  <c r="AB165" i="18"/>
  <c r="AM165" i="18" s="1"/>
  <c r="AB183" i="18"/>
  <c r="AM183" i="18" s="1"/>
  <c r="AB237" i="18"/>
  <c r="AM237" i="18" s="1"/>
  <c r="T71" i="18"/>
  <c r="I9" i="13" s="1"/>
  <c r="U71" i="18"/>
  <c r="T272" i="18"/>
  <c r="T12" i="13" s="1"/>
  <c r="U272" i="18"/>
  <c r="T135" i="18"/>
  <c r="L18" i="13" s="1"/>
  <c r="U135" i="18"/>
  <c r="L36" i="13" s="1"/>
  <c r="Y214" i="18"/>
  <c r="AJ214" i="18" s="1"/>
  <c r="Y196" i="18"/>
  <c r="AJ196" i="18" s="1"/>
  <c r="Y232" i="18"/>
  <c r="AJ232" i="18" s="1"/>
  <c r="Y70" i="18"/>
  <c r="AJ70" i="18" s="1"/>
  <c r="Y268" i="18"/>
  <c r="AJ268" i="18" s="1"/>
  <c r="Y88" i="18"/>
  <c r="AJ88" i="18" s="1"/>
  <c r="Y286" i="18"/>
  <c r="AJ286" i="18" s="1"/>
  <c r="Y160" i="18"/>
  <c r="AJ160" i="18" s="1"/>
  <c r="Y304" i="18"/>
  <c r="AJ304" i="18" s="1"/>
  <c r="Y322" i="18"/>
  <c r="AJ322" i="18" s="1"/>
  <c r="Y340" i="18"/>
  <c r="AJ340" i="18" s="1"/>
  <c r="Y142" i="18"/>
  <c r="AJ142" i="18" s="1"/>
  <c r="Y124" i="18"/>
  <c r="AJ124" i="18" s="1"/>
  <c r="Y34" i="18"/>
  <c r="AJ34" i="18" s="1"/>
  <c r="Y178" i="18"/>
  <c r="AJ178" i="18" s="1"/>
  <c r="Y250" i="18"/>
  <c r="AJ250" i="18" s="1"/>
  <c r="Y52" i="18"/>
  <c r="AJ52" i="18" s="1"/>
  <c r="Y106" i="18"/>
  <c r="AJ106" i="18" s="1"/>
  <c r="T345" i="18"/>
  <c r="X13" i="13" s="1"/>
  <c r="U345" i="18"/>
  <c r="T65" i="18"/>
  <c r="H20" i="13" s="1"/>
  <c r="U65" i="18"/>
  <c r="H38" i="13" s="1"/>
  <c r="X136" i="18"/>
  <c r="AI136" i="18" s="1"/>
  <c r="X262" i="18"/>
  <c r="AI262" i="18" s="1"/>
  <c r="X154" i="18"/>
  <c r="AI154" i="18" s="1"/>
  <c r="X280" i="18"/>
  <c r="AI280" i="18" s="1"/>
  <c r="X190" i="18"/>
  <c r="AI190" i="18" s="1"/>
  <c r="X334" i="18"/>
  <c r="AI334" i="18" s="1"/>
  <c r="X208" i="18"/>
  <c r="AI208" i="18" s="1"/>
  <c r="X64" i="18"/>
  <c r="X226" i="18"/>
  <c r="AI226" i="18" s="1"/>
  <c r="X244" i="18"/>
  <c r="AI244" i="18" s="1"/>
  <c r="X316" i="18"/>
  <c r="AI316" i="18" s="1"/>
  <c r="X82" i="18"/>
  <c r="X352" i="18"/>
  <c r="AI352" i="18" s="1"/>
  <c r="T28" i="18"/>
  <c r="F19" i="13" s="1"/>
  <c r="X298" i="18"/>
  <c r="AI298" i="18" s="1"/>
  <c r="U28" i="18"/>
  <c r="F37" i="13" s="1"/>
  <c r="X100" i="18"/>
  <c r="AI100" i="18" s="1"/>
  <c r="X118" i="18"/>
  <c r="AI118" i="18" s="1"/>
  <c r="X172" i="18"/>
  <c r="AI172" i="18" s="1"/>
  <c r="X46" i="18"/>
  <c r="T155" i="18"/>
  <c r="M20" i="13" s="1"/>
  <c r="U155" i="18"/>
  <c r="M38" i="13" s="1"/>
  <c r="AC164" i="18"/>
  <c r="AN164" i="18" s="1"/>
  <c r="AC128" i="18"/>
  <c r="AN128" i="18" s="1"/>
  <c r="AC74" i="18"/>
  <c r="AN74" i="18" s="1"/>
  <c r="AC218" i="18"/>
  <c r="AN218" i="18" s="1"/>
  <c r="AC344" i="18"/>
  <c r="AN344" i="18" s="1"/>
  <c r="AC236" i="18"/>
  <c r="AN236" i="18" s="1"/>
  <c r="AC146" i="18"/>
  <c r="AN146" i="18" s="1"/>
  <c r="AC182" i="18"/>
  <c r="AN182" i="18" s="1"/>
  <c r="AC200" i="18"/>
  <c r="AN200" i="18" s="1"/>
  <c r="AC326" i="18"/>
  <c r="AN326" i="18" s="1"/>
  <c r="AC290" i="18"/>
  <c r="AN290" i="18" s="1"/>
  <c r="AC56" i="18"/>
  <c r="AN56" i="18" s="1"/>
  <c r="AC308" i="18"/>
  <c r="AN308" i="18" s="1"/>
  <c r="AC38" i="18"/>
  <c r="AN38" i="18" s="1"/>
  <c r="AC92" i="18"/>
  <c r="AN92" i="18" s="1"/>
  <c r="AC110" i="18"/>
  <c r="AN110" i="18" s="1"/>
  <c r="AC272" i="18"/>
  <c r="AN272" i="18" s="1"/>
  <c r="AC254" i="18"/>
  <c r="AN254" i="18" s="1"/>
  <c r="T308" i="18"/>
  <c r="V12" i="13" s="1"/>
  <c r="U308" i="18"/>
  <c r="T64" i="18"/>
  <c r="H19" i="13" s="1"/>
  <c r="U64" i="18"/>
  <c r="H37" i="13" s="1"/>
  <c r="U146" i="18"/>
  <c r="T146" i="18"/>
  <c r="M12" i="13" s="1"/>
  <c r="U223" i="18"/>
  <c r="Q34" i="13" s="1"/>
  <c r="T223" i="18"/>
  <c r="Q16" i="13" s="1"/>
  <c r="Y329" i="18"/>
  <c r="AJ329" i="18" s="1"/>
  <c r="Y131" i="18"/>
  <c r="AJ131" i="18" s="1"/>
  <c r="Y113" i="18"/>
  <c r="AJ113" i="18" s="1"/>
  <c r="Y347" i="18"/>
  <c r="AJ347" i="18" s="1"/>
  <c r="Y167" i="18"/>
  <c r="AJ167" i="18" s="1"/>
  <c r="Y239" i="18"/>
  <c r="AJ239" i="18" s="1"/>
  <c r="Y95" i="18"/>
  <c r="AJ95" i="18" s="1"/>
  <c r="Y293" i="18"/>
  <c r="AJ293" i="18" s="1"/>
  <c r="Y77" i="18"/>
  <c r="AJ77" i="18" s="1"/>
  <c r="Y59" i="18"/>
  <c r="AJ59" i="18" s="1"/>
  <c r="Y149" i="18"/>
  <c r="AJ149" i="18" s="1"/>
  <c r="Y203" i="18"/>
  <c r="AJ203" i="18" s="1"/>
  <c r="Y275" i="18"/>
  <c r="AJ275" i="18" s="1"/>
  <c r="Y185" i="18"/>
  <c r="AJ185" i="18" s="1"/>
  <c r="Y311" i="18"/>
  <c r="AJ311" i="18" s="1"/>
  <c r="Y41" i="18"/>
  <c r="AJ41" i="18" s="1"/>
  <c r="Y221" i="18"/>
  <c r="AJ221" i="18" s="1"/>
  <c r="Y257" i="18"/>
  <c r="AJ257" i="18" s="1"/>
  <c r="AC89" i="18"/>
  <c r="AN89" i="18" s="1"/>
  <c r="AC269" i="18"/>
  <c r="AN269" i="18" s="1"/>
  <c r="AC161" i="18"/>
  <c r="AN161" i="18" s="1"/>
  <c r="AC125" i="18"/>
  <c r="AN125" i="18" s="1"/>
  <c r="AC179" i="18"/>
  <c r="AN179" i="18" s="1"/>
  <c r="AC323" i="18"/>
  <c r="AN323" i="18" s="1"/>
  <c r="AC233" i="18"/>
  <c r="AN233" i="18" s="1"/>
  <c r="AC107" i="18"/>
  <c r="AN107" i="18" s="1"/>
  <c r="AC143" i="18"/>
  <c r="AN143" i="18" s="1"/>
  <c r="AC197" i="18"/>
  <c r="AN197" i="18" s="1"/>
  <c r="AC215" i="18"/>
  <c r="AN215" i="18" s="1"/>
  <c r="AC341" i="18"/>
  <c r="AN341" i="18" s="1"/>
  <c r="AC251" i="18"/>
  <c r="AN251" i="18" s="1"/>
  <c r="AC287" i="18"/>
  <c r="AN287" i="18" s="1"/>
  <c r="AC305" i="18"/>
  <c r="AN305" i="18" s="1"/>
  <c r="AC35" i="18"/>
  <c r="AN35" i="18" s="1"/>
  <c r="AC71" i="18"/>
  <c r="AN71" i="18" s="1"/>
  <c r="AC53" i="18"/>
  <c r="AN53" i="18" s="1"/>
  <c r="U48" i="18"/>
  <c r="G39" i="13" s="1"/>
  <c r="T48" i="18"/>
  <c r="G21" i="13" s="1"/>
  <c r="U322" i="18"/>
  <c r="W26" i="13" s="1"/>
  <c r="T322" i="18"/>
  <c r="W8" i="13" s="1"/>
  <c r="T214" i="18"/>
  <c r="Q8" i="13" s="1"/>
  <c r="U214" i="18"/>
  <c r="Q26" i="13" s="1"/>
  <c r="U312" i="18"/>
  <c r="V33" i="13" s="1"/>
  <c r="T312" i="18"/>
  <c r="V15" i="13" s="1"/>
  <c r="T78" i="18"/>
  <c r="I15" i="13" s="1"/>
  <c r="U78" i="18"/>
  <c r="I33" i="13" s="1"/>
  <c r="T55" i="18"/>
  <c r="H11" i="13" s="1"/>
  <c r="U55" i="18"/>
  <c r="AC118" i="18"/>
  <c r="AN118" i="18" s="1"/>
  <c r="AC262" i="18"/>
  <c r="AN262" i="18" s="1"/>
  <c r="AC190" i="18"/>
  <c r="AN190" i="18" s="1"/>
  <c r="AC280" i="18"/>
  <c r="AN280" i="18" s="1"/>
  <c r="AC64" i="18"/>
  <c r="AN64" i="18" s="1"/>
  <c r="AC352" i="18"/>
  <c r="AN352" i="18" s="1"/>
  <c r="AC316" i="18"/>
  <c r="AN316" i="18" s="1"/>
  <c r="AC136" i="18"/>
  <c r="AN136" i="18" s="1"/>
  <c r="AC226" i="18"/>
  <c r="AN226" i="18" s="1"/>
  <c r="AC298" i="18"/>
  <c r="AN298" i="18" s="1"/>
  <c r="AC334" i="18"/>
  <c r="AN334" i="18" s="1"/>
  <c r="AC208" i="18"/>
  <c r="AN208" i="18" s="1"/>
  <c r="AC244" i="18"/>
  <c r="AN244" i="18" s="1"/>
  <c r="AC46" i="18"/>
  <c r="AN46" i="18" s="1"/>
  <c r="AC82" i="18"/>
  <c r="AN82" i="18" s="1"/>
  <c r="AC100" i="18"/>
  <c r="AN100" i="18" s="1"/>
  <c r="AC154" i="18"/>
  <c r="AN154" i="18" s="1"/>
  <c r="AC172" i="18"/>
  <c r="AN172" i="18" s="1"/>
  <c r="T83" i="18"/>
  <c r="I20" i="13" s="1"/>
  <c r="U83" i="18"/>
  <c r="I38" i="13" s="1"/>
  <c r="U248" i="18"/>
  <c r="S24" i="13" s="1"/>
  <c r="T248" i="18"/>
  <c r="S6" i="13" s="1"/>
  <c r="AA92" i="18"/>
  <c r="AL92" i="18" s="1"/>
  <c r="AA227" i="18"/>
  <c r="AL227" i="18" s="1"/>
  <c r="AA155" i="18"/>
  <c r="AL155" i="18" s="1"/>
  <c r="AA353" i="18"/>
  <c r="AL353" i="18" s="1"/>
  <c r="AA137" i="18"/>
  <c r="AL137" i="18" s="1"/>
  <c r="AA164" i="18"/>
  <c r="AL164" i="18" s="1"/>
  <c r="AA236" i="18"/>
  <c r="AL236" i="18" s="1"/>
  <c r="AA182" i="18"/>
  <c r="AL182" i="18" s="1"/>
  <c r="AA110" i="18"/>
  <c r="AL110" i="18" s="1"/>
  <c r="AA74" i="18"/>
  <c r="AL74" i="18" s="1"/>
  <c r="AA254" i="18"/>
  <c r="AL254" i="18" s="1"/>
  <c r="AA146" i="18"/>
  <c r="AL146" i="18" s="1"/>
  <c r="AA308" i="18"/>
  <c r="AL308" i="18" s="1"/>
  <c r="AA209" i="18"/>
  <c r="AL209" i="18" s="1"/>
  <c r="AA281" i="18"/>
  <c r="AL281" i="18" s="1"/>
  <c r="AA299" i="18"/>
  <c r="AL299" i="18" s="1"/>
  <c r="AA317" i="18"/>
  <c r="AL317" i="18" s="1"/>
  <c r="AA245" i="18"/>
  <c r="AL245" i="18" s="1"/>
  <c r="AA119" i="18"/>
  <c r="AL119" i="18" s="1"/>
  <c r="AA263" i="18"/>
  <c r="AL263" i="18" s="1"/>
  <c r="AA335" i="18"/>
  <c r="AL335" i="18" s="1"/>
  <c r="AA272" i="18"/>
  <c r="AL272" i="18" s="1"/>
  <c r="AA200" i="18"/>
  <c r="AL200" i="18" s="1"/>
  <c r="AA128" i="18"/>
  <c r="AL128" i="18" s="1"/>
  <c r="AA65" i="18"/>
  <c r="AL65" i="18" s="1"/>
  <c r="AA290" i="18"/>
  <c r="AL290" i="18" s="1"/>
  <c r="AA173" i="18"/>
  <c r="AL173" i="18" s="1"/>
  <c r="AA38" i="18"/>
  <c r="AL38" i="18" s="1"/>
  <c r="AA56" i="18"/>
  <c r="AL56" i="18" s="1"/>
  <c r="AA47" i="18"/>
  <c r="AL47" i="18" s="1"/>
  <c r="AA326" i="18"/>
  <c r="AL326" i="18" s="1"/>
  <c r="AA83" i="18"/>
  <c r="AL83" i="18" s="1"/>
  <c r="AA344" i="18"/>
  <c r="AL344" i="18" s="1"/>
  <c r="AA191" i="18"/>
  <c r="AL191" i="18" s="1"/>
  <c r="AA101" i="18"/>
  <c r="AL101" i="18" s="1"/>
  <c r="AA218" i="18"/>
  <c r="AL218" i="18" s="1"/>
  <c r="U327" i="18"/>
  <c r="T327" i="18"/>
  <c r="W13" i="13" s="1"/>
  <c r="U246" i="18"/>
  <c r="R39" i="13" s="1"/>
  <c r="T246" i="18"/>
  <c r="R21" i="13" s="1"/>
  <c r="U185" i="18"/>
  <c r="O32" i="13" s="1"/>
  <c r="T185" i="18"/>
  <c r="O14" i="13" s="1"/>
  <c r="X73" i="18"/>
  <c r="X307" i="18"/>
  <c r="AI307" i="18" s="1"/>
  <c r="X91" i="18"/>
  <c r="X217" i="18"/>
  <c r="AI217" i="18" s="1"/>
  <c r="X127" i="18"/>
  <c r="AI127" i="18" s="1"/>
  <c r="X253" i="18"/>
  <c r="AI253" i="18" s="1"/>
  <c r="X181" i="18"/>
  <c r="AI181" i="18" s="1"/>
  <c r="X325" i="18"/>
  <c r="AI325" i="18" s="1"/>
  <c r="X235" i="18"/>
  <c r="AI235" i="18" s="1"/>
  <c r="X37" i="18"/>
  <c r="X271" i="18"/>
  <c r="AI271" i="18" s="1"/>
  <c r="X343" i="18"/>
  <c r="AI343" i="18" s="1"/>
  <c r="X163" i="18"/>
  <c r="AI163" i="18" s="1"/>
  <c r="X289" i="18"/>
  <c r="AI289" i="18" s="1"/>
  <c r="T19" i="18"/>
  <c r="F11" i="13" s="1"/>
  <c r="U19" i="18"/>
  <c r="F29" i="13" s="1"/>
  <c r="X55" i="18"/>
  <c r="X109" i="18"/>
  <c r="AI109" i="18" s="1"/>
  <c r="X145" i="18"/>
  <c r="AI145" i="18" s="1"/>
  <c r="X199" i="18"/>
  <c r="AI199" i="18" s="1"/>
  <c r="T141" i="18"/>
  <c r="M7" i="13" s="1"/>
  <c r="U141" i="18"/>
  <c r="M25" i="13" s="1"/>
  <c r="Y177" i="18"/>
  <c r="AJ177" i="18" s="1"/>
  <c r="Y303" i="18"/>
  <c r="AJ303" i="18" s="1"/>
  <c r="Y51" i="18"/>
  <c r="AJ51" i="18" s="1"/>
  <c r="Y195" i="18"/>
  <c r="AJ195" i="18" s="1"/>
  <c r="Y339" i="18"/>
  <c r="AJ339" i="18" s="1"/>
  <c r="Y69" i="18"/>
  <c r="AJ69" i="18" s="1"/>
  <c r="Y321" i="18"/>
  <c r="AJ321" i="18" s="1"/>
  <c r="Y141" i="18"/>
  <c r="AJ141" i="18" s="1"/>
  <c r="Y267" i="18"/>
  <c r="AJ267" i="18" s="1"/>
  <c r="Y213" i="18"/>
  <c r="AJ213" i="18" s="1"/>
  <c r="Y231" i="18"/>
  <c r="AJ231" i="18" s="1"/>
  <c r="Y249" i="18"/>
  <c r="AJ249" i="18" s="1"/>
  <c r="Y33" i="18"/>
  <c r="AJ33" i="18" s="1"/>
  <c r="Y285" i="18"/>
  <c r="AJ285" i="18" s="1"/>
  <c r="Y105" i="18"/>
  <c r="AJ105" i="18" s="1"/>
  <c r="Y159" i="18"/>
  <c r="AJ159" i="18" s="1"/>
  <c r="Y87" i="18"/>
  <c r="AJ87" i="18" s="1"/>
  <c r="Y123" i="18"/>
  <c r="AJ123" i="18" s="1"/>
  <c r="T198" i="18"/>
  <c r="P10" i="13" s="1"/>
  <c r="U198" i="18"/>
  <c r="T63" i="18"/>
  <c r="H18" i="13" s="1"/>
  <c r="U63" i="18"/>
  <c r="H36" i="13" s="1"/>
  <c r="T149" i="18"/>
  <c r="M14" i="13" s="1"/>
  <c r="U149" i="18"/>
  <c r="M32" i="13" s="1"/>
  <c r="Y223" i="18"/>
  <c r="AJ223" i="18" s="1"/>
  <c r="Y169" i="18"/>
  <c r="AJ169" i="18" s="1"/>
  <c r="Y241" i="18"/>
  <c r="AJ241" i="18" s="1"/>
  <c r="Y205" i="18"/>
  <c r="AJ205" i="18" s="1"/>
  <c r="Y259" i="18"/>
  <c r="AJ259" i="18" s="1"/>
  <c r="Y133" i="18"/>
  <c r="AJ133" i="18" s="1"/>
  <c r="Y97" i="18"/>
  <c r="AJ97" i="18" s="1"/>
  <c r="Y331" i="18"/>
  <c r="AJ331" i="18" s="1"/>
  <c r="Y187" i="18"/>
  <c r="AJ187" i="18" s="1"/>
  <c r="Y277" i="18"/>
  <c r="AJ277" i="18" s="1"/>
  <c r="Y43" i="18"/>
  <c r="AJ43" i="18" s="1"/>
  <c r="Y295" i="18"/>
  <c r="AJ295" i="18" s="1"/>
  <c r="Y313" i="18"/>
  <c r="AJ313" i="18" s="1"/>
  <c r="Y349" i="18"/>
  <c r="AJ349" i="18" s="1"/>
  <c r="Y115" i="18"/>
  <c r="AJ115" i="18" s="1"/>
  <c r="Y79" i="18"/>
  <c r="AJ79" i="18" s="1"/>
  <c r="Y151" i="18"/>
  <c r="AJ151" i="18" s="1"/>
  <c r="Y61" i="18"/>
  <c r="AJ61" i="18" s="1"/>
  <c r="U82" i="18"/>
  <c r="I37" i="13" s="1"/>
  <c r="T82" i="18"/>
  <c r="I19" i="13" s="1"/>
  <c r="AA60" i="18"/>
  <c r="AL60" i="18" s="1"/>
  <c r="AA294" i="18"/>
  <c r="AL294" i="18" s="1"/>
  <c r="AA312" i="18"/>
  <c r="AL312" i="18" s="1"/>
  <c r="AA78" i="18"/>
  <c r="AL78" i="18" s="1"/>
  <c r="AA348" i="18"/>
  <c r="AL348" i="18" s="1"/>
  <c r="AA114" i="18"/>
  <c r="AL114" i="18" s="1"/>
  <c r="AA240" i="18"/>
  <c r="AL240" i="18" s="1"/>
  <c r="AA168" i="18"/>
  <c r="AL168" i="18" s="1"/>
  <c r="AA204" i="18"/>
  <c r="AL204" i="18" s="1"/>
  <c r="AA222" i="18"/>
  <c r="AL222" i="18" s="1"/>
  <c r="AA258" i="18"/>
  <c r="AL258" i="18" s="1"/>
  <c r="AA276" i="18"/>
  <c r="AL276" i="18" s="1"/>
  <c r="AA150" i="18"/>
  <c r="AL150" i="18" s="1"/>
  <c r="AA330" i="18"/>
  <c r="AL330" i="18" s="1"/>
  <c r="AA42" i="18"/>
  <c r="AL42" i="18" s="1"/>
  <c r="AA186" i="18"/>
  <c r="AL186" i="18" s="1"/>
  <c r="AA96" i="18"/>
  <c r="AL96" i="18" s="1"/>
  <c r="AA132" i="18"/>
  <c r="AL132" i="18" s="1"/>
  <c r="U278" i="18"/>
  <c r="T35" i="13" s="1"/>
  <c r="T278" i="18"/>
  <c r="T17" i="13" s="1"/>
  <c r="T126" i="18"/>
  <c r="L10" i="13" s="1"/>
  <c r="U126" i="18"/>
  <c r="U39" i="18"/>
  <c r="T39" i="18"/>
  <c r="G13" i="13" s="1"/>
  <c r="T115" i="18"/>
  <c r="K16" i="13" s="1"/>
  <c r="U115" i="18"/>
  <c r="K34" i="13" s="1"/>
  <c r="Y248" i="18"/>
  <c r="AJ248" i="18" s="1"/>
  <c r="Y86" i="18"/>
  <c r="AJ86" i="18" s="1"/>
  <c r="Y302" i="18"/>
  <c r="AJ302" i="18" s="1"/>
  <c r="Y194" i="18"/>
  <c r="AJ194" i="18" s="1"/>
  <c r="Y320" i="18"/>
  <c r="AJ320" i="18" s="1"/>
  <c r="Y338" i="18"/>
  <c r="AJ338" i="18" s="1"/>
  <c r="Y140" i="18"/>
  <c r="AJ140" i="18" s="1"/>
  <c r="Y176" i="18"/>
  <c r="AJ176" i="18" s="1"/>
  <c r="Y212" i="18"/>
  <c r="AJ212" i="18" s="1"/>
  <c r="Y158" i="18"/>
  <c r="AJ158" i="18" s="1"/>
  <c r="Y230" i="18"/>
  <c r="AJ230" i="18" s="1"/>
  <c r="Y266" i="18"/>
  <c r="AJ266" i="18" s="1"/>
  <c r="Y32" i="18"/>
  <c r="AJ32" i="18" s="1"/>
  <c r="Y284" i="18"/>
  <c r="AJ284" i="18" s="1"/>
  <c r="Y50" i="18"/>
  <c r="AJ50" i="18" s="1"/>
  <c r="Y104" i="18"/>
  <c r="AJ104" i="18" s="1"/>
  <c r="Y68" i="18"/>
  <c r="AJ68" i="18" s="1"/>
  <c r="Y122" i="18"/>
  <c r="AJ122" i="18" s="1"/>
  <c r="U37" i="18"/>
  <c r="T37" i="18"/>
  <c r="G11" i="13" s="1"/>
  <c r="U281" i="18"/>
  <c r="T38" i="13" s="1"/>
  <c r="T281" i="18"/>
  <c r="T20" i="13" s="1"/>
  <c r="U191" i="18"/>
  <c r="O38" i="13" s="1"/>
  <c r="T191" i="18"/>
  <c r="O20" i="13" s="1"/>
  <c r="T156" i="18"/>
  <c r="M21" i="13" s="1"/>
  <c r="U156" i="18"/>
  <c r="M39" i="13" s="1"/>
  <c r="AC304" i="18"/>
  <c r="AN304" i="18" s="1"/>
  <c r="AC106" i="18"/>
  <c r="AN106" i="18" s="1"/>
  <c r="AC196" i="18"/>
  <c r="AN196" i="18" s="1"/>
  <c r="AC322" i="18"/>
  <c r="AN322" i="18" s="1"/>
  <c r="AC340" i="18"/>
  <c r="AN340" i="18" s="1"/>
  <c r="AC214" i="18"/>
  <c r="AN214" i="18" s="1"/>
  <c r="AC124" i="18"/>
  <c r="AN124" i="18" s="1"/>
  <c r="AC70" i="18"/>
  <c r="AN70" i="18" s="1"/>
  <c r="AC268" i="18"/>
  <c r="AN268" i="18" s="1"/>
  <c r="AC34" i="18"/>
  <c r="AN34" i="18" s="1"/>
  <c r="AC88" i="18"/>
  <c r="AN88" i="18" s="1"/>
  <c r="AC52" i="18"/>
  <c r="AN52" i="18" s="1"/>
  <c r="AC178" i="18"/>
  <c r="AN178" i="18" s="1"/>
  <c r="AC160" i="18"/>
  <c r="AN160" i="18" s="1"/>
  <c r="AC286" i="18"/>
  <c r="AN286" i="18" s="1"/>
  <c r="AC142" i="18"/>
  <c r="AN142" i="18" s="1"/>
  <c r="AC232" i="18"/>
  <c r="AN232" i="18" s="1"/>
  <c r="AC250" i="18"/>
  <c r="AN250" i="18" s="1"/>
  <c r="AC219" i="18"/>
  <c r="AN219" i="18" s="1"/>
  <c r="AC291" i="18"/>
  <c r="AN291" i="18" s="1"/>
  <c r="AC165" i="18"/>
  <c r="AN165" i="18" s="1"/>
  <c r="AC129" i="18"/>
  <c r="AN129" i="18" s="1"/>
  <c r="AC183" i="18"/>
  <c r="AN183" i="18" s="1"/>
  <c r="AC327" i="18"/>
  <c r="AN327" i="18" s="1"/>
  <c r="AC237" i="18"/>
  <c r="AN237" i="18" s="1"/>
  <c r="AC39" i="18"/>
  <c r="AN39" i="18" s="1"/>
  <c r="AC57" i="18"/>
  <c r="AN57" i="18" s="1"/>
  <c r="AC255" i="18"/>
  <c r="AN255" i="18" s="1"/>
  <c r="AC273" i="18"/>
  <c r="AN273" i="18" s="1"/>
  <c r="AC147" i="18"/>
  <c r="AN147" i="18" s="1"/>
  <c r="AC309" i="18"/>
  <c r="AN309" i="18" s="1"/>
  <c r="AC111" i="18"/>
  <c r="AN111" i="18" s="1"/>
  <c r="AC93" i="18"/>
  <c r="AN93" i="18" s="1"/>
  <c r="AC345" i="18"/>
  <c r="AN345" i="18" s="1"/>
  <c r="AC75" i="18"/>
  <c r="AN75" i="18" s="1"/>
  <c r="AC201" i="18"/>
  <c r="AN201" i="18" s="1"/>
  <c r="T208" i="18"/>
  <c r="P19" i="13" s="1"/>
  <c r="U208" i="18"/>
  <c r="P37" i="13" s="1"/>
  <c r="U225" i="18"/>
  <c r="Q36" i="13" s="1"/>
  <c r="T225" i="18"/>
  <c r="Q18" i="13" s="1"/>
  <c r="U245" i="18"/>
  <c r="R38" i="13" s="1"/>
  <c r="T245" i="18"/>
  <c r="R20" i="13" s="1"/>
  <c r="Y60" i="18"/>
  <c r="AJ60" i="18" s="1"/>
  <c r="Y204" i="18"/>
  <c r="AJ204" i="18" s="1"/>
  <c r="Y312" i="18"/>
  <c r="AJ312" i="18" s="1"/>
  <c r="Y78" i="18"/>
  <c r="AJ78" i="18" s="1"/>
  <c r="Y348" i="18"/>
  <c r="AJ348" i="18" s="1"/>
  <c r="Y96" i="18"/>
  <c r="AJ96" i="18" s="1"/>
  <c r="Y294" i="18"/>
  <c r="AJ294" i="18" s="1"/>
  <c r="Y168" i="18"/>
  <c r="AJ168" i="18" s="1"/>
  <c r="Y258" i="18"/>
  <c r="AJ258" i="18" s="1"/>
  <c r="Y330" i="18"/>
  <c r="AJ330" i="18" s="1"/>
  <c r="Y222" i="18"/>
  <c r="AJ222" i="18" s="1"/>
  <c r="Y240" i="18"/>
  <c r="AJ240" i="18" s="1"/>
  <c r="Y276" i="18"/>
  <c r="AJ276" i="18" s="1"/>
  <c r="Y114" i="18"/>
  <c r="AJ114" i="18" s="1"/>
  <c r="Y132" i="18"/>
  <c r="AJ132" i="18" s="1"/>
  <c r="Y150" i="18"/>
  <c r="AJ150" i="18" s="1"/>
  <c r="Y186" i="18"/>
  <c r="AJ186" i="18" s="1"/>
  <c r="Y42" i="18"/>
  <c r="AJ42" i="18" s="1"/>
  <c r="Z236" i="18"/>
  <c r="AK236" i="18" s="1"/>
  <c r="Z344" i="18"/>
  <c r="AK344" i="18" s="1"/>
  <c r="Z56" i="18"/>
  <c r="AK56" i="18" s="1"/>
  <c r="Z254" i="18"/>
  <c r="AK254" i="18" s="1"/>
  <c r="Z308" i="18"/>
  <c r="AK308" i="18" s="1"/>
  <c r="Z92" i="18"/>
  <c r="AK92" i="18" s="1"/>
  <c r="Z182" i="18"/>
  <c r="AK182" i="18" s="1"/>
  <c r="Z146" i="18"/>
  <c r="AK146" i="18" s="1"/>
  <c r="Z326" i="18"/>
  <c r="AK326" i="18" s="1"/>
  <c r="Z272" i="18"/>
  <c r="AK272" i="18" s="1"/>
  <c r="Z200" i="18"/>
  <c r="AK200" i="18" s="1"/>
  <c r="Z290" i="18"/>
  <c r="AK290" i="18" s="1"/>
  <c r="Z128" i="18"/>
  <c r="AK128" i="18" s="1"/>
  <c r="Z74" i="18"/>
  <c r="AK74" i="18" s="1"/>
  <c r="Z110" i="18"/>
  <c r="AK110" i="18" s="1"/>
  <c r="Z218" i="18"/>
  <c r="AK218" i="18" s="1"/>
  <c r="Z164" i="18"/>
  <c r="AK164" i="18" s="1"/>
  <c r="Z38" i="18"/>
  <c r="AK38" i="18" s="1"/>
  <c r="T205" i="18"/>
  <c r="P16" i="13" s="1"/>
  <c r="U205" i="18"/>
  <c r="P34" i="13" s="1"/>
  <c r="U113" i="18"/>
  <c r="K32" i="13" s="1"/>
  <c r="T113" i="18"/>
  <c r="K14" i="13" s="1"/>
  <c r="X279" i="18"/>
  <c r="AI279" i="18" s="1"/>
  <c r="X63" i="18"/>
  <c r="X297" i="18"/>
  <c r="AI297" i="18" s="1"/>
  <c r="X171" i="18"/>
  <c r="AI171" i="18" s="1"/>
  <c r="X315" i="18"/>
  <c r="AI315" i="18" s="1"/>
  <c r="X99" i="18"/>
  <c r="AI99" i="18" s="1"/>
  <c r="X333" i="18"/>
  <c r="AI333" i="18" s="1"/>
  <c r="X153" i="18"/>
  <c r="AI153" i="18" s="1"/>
  <c r="X351" i="18"/>
  <c r="AI351" i="18" s="1"/>
  <c r="X45" i="18"/>
  <c r="X207" i="18"/>
  <c r="AI207" i="18" s="1"/>
  <c r="T27" i="18"/>
  <c r="F18" i="13" s="1"/>
  <c r="X225" i="18"/>
  <c r="AI225" i="18" s="1"/>
  <c r="U27" i="18"/>
  <c r="F36" i="13" s="1"/>
  <c r="X81" i="18"/>
  <c r="X243" i="18"/>
  <c r="AI243" i="18" s="1"/>
  <c r="X189" i="18"/>
  <c r="AI189" i="18" s="1"/>
  <c r="X117" i="18"/>
  <c r="AI117" i="18" s="1"/>
  <c r="X261" i="18"/>
  <c r="AI261" i="18" s="1"/>
  <c r="X135" i="18"/>
  <c r="AI135" i="18" s="1"/>
  <c r="U186" i="18"/>
  <c r="O33" i="13" s="1"/>
  <c r="T186" i="18"/>
  <c r="O15" i="13" s="1"/>
  <c r="U313" i="18"/>
  <c r="V34" i="13" s="1"/>
  <c r="T313" i="18"/>
  <c r="V16" i="13" s="1"/>
  <c r="T222" i="18"/>
  <c r="Q15" i="13" s="1"/>
  <c r="U222" i="18"/>
  <c r="Q33" i="13" s="1"/>
  <c r="U217" i="18"/>
  <c r="Q29" i="13" s="1"/>
  <c r="T217" i="18"/>
  <c r="Q11" i="13" s="1"/>
  <c r="U263" i="18"/>
  <c r="S38" i="13" s="1"/>
  <c r="T263" i="18"/>
  <c r="S20" i="13" s="1"/>
  <c r="U253" i="18"/>
  <c r="T253" i="18"/>
  <c r="S11" i="13" s="1"/>
  <c r="T277" i="18"/>
  <c r="T16" i="13" s="1"/>
  <c r="U277" i="18"/>
  <c r="T34" i="13" s="1"/>
  <c r="T183" i="18"/>
  <c r="O13" i="13" s="1"/>
  <c r="U183" i="18"/>
  <c r="T260" i="18"/>
  <c r="S17" i="13" s="1"/>
  <c r="U260" i="18"/>
  <c r="S35" i="13" s="1"/>
  <c r="AE96" i="18" l="1"/>
  <c r="AD95" i="18"/>
  <c r="AE95" i="18"/>
  <c r="AP351" i="18"/>
  <c r="X36" i="11" s="1"/>
  <c r="AO351" i="18"/>
  <c r="X18" i="11" s="1"/>
  <c r="AI55" i="18"/>
  <c r="AP55" i="18" s="1"/>
  <c r="H29" i="11" s="1"/>
  <c r="G11" i="19" s="1"/>
  <c r="AE55" i="18"/>
  <c r="H29" i="13" s="1"/>
  <c r="AD55" i="18"/>
  <c r="AP187" i="18"/>
  <c r="O34" i="11" s="1"/>
  <c r="AO187" i="18"/>
  <c r="O16" i="11" s="1"/>
  <c r="AP151" i="18"/>
  <c r="M34" i="11" s="1"/>
  <c r="AO151" i="18"/>
  <c r="M16" i="11" s="1"/>
  <c r="AO295" i="18"/>
  <c r="U16" i="11" s="1"/>
  <c r="AP295" i="18"/>
  <c r="U34" i="11" s="1"/>
  <c r="AP266" i="18"/>
  <c r="T24" i="11" s="1"/>
  <c r="AO266" i="18"/>
  <c r="T6" i="11" s="1"/>
  <c r="AO309" i="18"/>
  <c r="V13" i="11" s="1"/>
  <c r="AP309" i="18"/>
  <c r="V31" i="11" s="1"/>
  <c r="AO147" i="18"/>
  <c r="M13" i="11" s="1"/>
  <c r="AP147" i="18"/>
  <c r="M31" i="11" s="1"/>
  <c r="AO291" i="18"/>
  <c r="U13" i="11" s="1"/>
  <c r="AP291" i="18"/>
  <c r="U31" i="11" s="1"/>
  <c r="AP263" i="18"/>
  <c r="S38" i="11" s="1"/>
  <c r="AO263" i="18"/>
  <c r="S20" i="11" s="1"/>
  <c r="AP120" i="18"/>
  <c r="K39" i="11" s="1"/>
  <c r="AO120" i="18"/>
  <c r="K21" i="11" s="1"/>
  <c r="AO354" i="18"/>
  <c r="X21" i="11" s="1"/>
  <c r="AP354" i="18"/>
  <c r="X39" i="11" s="1"/>
  <c r="AP188" i="18"/>
  <c r="O35" i="11" s="1"/>
  <c r="AO188" i="18"/>
  <c r="O17" i="11" s="1"/>
  <c r="AP224" i="18"/>
  <c r="Q35" i="11" s="1"/>
  <c r="AO224" i="18"/>
  <c r="Q17" i="11" s="1"/>
  <c r="AO250" i="18"/>
  <c r="S8" i="11" s="1"/>
  <c r="AP250" i="18"/>
  <c r="S26" i="11" s="1"/>
  <c r="AP160" i="18"/>
  <c r="N26" i="11" s="1"/>
  <c r="AO160" i="18"/>
  <c r="N8" i="11" s="1"/>
  <c r="AO232" i="18"/>
  <c r="R8" i="11" s="1"/>
  <c r="AP232" i="18"/>
  <c r="R26" i="11" s="1"/>
  <c r="AI42" i="18"/>
  <c r="AP42" i="18" s="1"/>
  <c r="G33" i="11" s="1"/>
  <c r="AE42" i="18"/>
  <c r="AD42" i="18"/>
  <c r="AO42" i="18" s="1"/>
  <c r="G15" i="11" s="1"/>
  <c r="AP150" i="18"/>
  <c r="M33" i="11" s="1"/>
  <c r="AO150" i="18"/>
  <c r="M15" i="11" s="1"/>
  <c r="AI78" i="18"/>
  <c r="AP78" i="18" s="1"/>
  <c r="I33" i="11" s="1"/>
  <c r="AE78" i="18"/>
  <c r="AD78" i="18"/>
  <c r="AO78" i="18" s="1"/>
  <c r="I15" i="11" s="1"/>
  <c r="AI53" i="18"/>
  <c r="AP53" i="18" s="1"/>
  <c r="H27" i="11" s="1"/>
  <c r="AE53" i="18"/>
  <c r="H27" i="13" s="1"/>
  <c r="AD53" i="18"/>
  <c r="AO341" i="18"/>
  <c r="X9" i="11" s="1"/>
  <c r="AP341" i="18"/>
  <c r="X27" i="11" s="1"/>
  <c r="AP252" i="18"/>
  <c r="S28" i="11" s="1"/>
  <c r="AO252" i="18"/>
  <c r="S10" i="11" s="1"/>
  <c r="AP126" i="18"/>
  <c r="L28" i="11" s="1"/>
  <c r="AO126" i="18"/>
  <c r="L10" i="11" s="1"/>
  <c r="AP285" i="18"/>
  <c r="U25" i="11" s="1"/>
  <c r="AO285" i="18"/>
  <c r="U7" i="11" s="1"/>
  <c r="AP213" i="18"/>
  <c r="Q25" i="11" s="1"/>
  <c r="AO213" i="18"/>
  <c r="Q7" i="11" s="1"/>
  <c r="AO254" i="18"/>
  <c r="S12" i="11" s="1"/>
  <c r="AP254" i="18"/>
  <c r="S30" i="11" s="1"/>
  <c r="AO344" i="18"/>
  <c r="X12" i="11" s="1"/>
  <c r="AP344" i="18"/>
  <c r="X30" i="11" s="1"/>
  <c r="AP279" i="18"/>
  <c r="T36" i="11" s="1"/>
  <c r="AO279" i="18"/>
  <c r="T18" i="11" s="1"/>
  <c r="AO235" i="18"/>
  <c r="R11" i="11" s="1"/>
  <c r="AP235" i="18"/>
  <c r="R29" i="11" s="1"/>
  <c r="AP99" i="18"/>
  <c r="J36" i="11" s="1"/>
  <c r="AO99" i="18"/>
  <c r="J18" i="11" s="1"/>
  <c r="AP352" i="18"/>
  <c r="X37" i="11" s="1"/>
  <c r="AO352" i="18"/>
  <c r="X19" i="11" s="1"/>
  <c r="AO311" i="18"/>
  <c r="V14" i="11" s="1"/>
  <c r="AP311" i="18"/>
  <c r="V32" i="11" s="1"/>
  <c r="AP115" i="18"/>
  <c r="K34" i="11" s="1"/>
  <c r="AO115" i="18"/>
  <c r="K16" i="11" s="1"/>
  <c r="AO241" i="18"/>
  <c r="R16" i="11" s="1"/>
  <c r="AP241" i="18"/>
  <c r="R34" i="11" s="1"/>
  <c r="AI43" i="18"/>
  <c r="AP43" i="18" s="1"/>
  <c r="G34" i="11" s="1"/>
  <c r="AD43" i="18"/>
  <c r="AO43" i="18" s="1"/>
  <c r="G16" i="11" s="1"/>
  <c r="AE43" i="18"/>
  <c r="AO104" i="18"/>
  <c r="K6" i="11" s="1"/>
  <c r="AP104" i="18"/>
  <c r="K24" i="11" s="1"/>
  <c r="AO129" i="18"/>
  <c r="L13" i="11" s="1"/>
  <c r="AP129" i="18"/>
  <c r="L31" i="11" s="1"/>
  <c r="AI93" i="18"/>
  <c r="AE93" i="18"/>
  <c r="J31" i="13" s="1"/>
  <c r="AD93" i="18"/>
  <c r="AO173" i="18"/>
  <c r="N20" i="11" s="1"/>
  <c r="AP173" i="18"/>
  <c r="N38" i="11" s="1"/>
  <c r="AO210" i="18"/>
  <c r="P21" i="11" s="1"/>
  <c r="AP210" i="18"/>
  <c r="P39" i="11" s="1"/>
  <c r="AP102" i="18"/>
  <c r="J39" i="11" s="1"/>
  <c r="AO102" i="18"/>
  <c r="J21" i="11" s="1"/>
  <c r="AO192" i="18"/>
  <c r="O21" i="11" s="1"/>
  <c r="AP192" i="18"/>
  <c r="O39" i="11" s="1"/>
  <c r="AI80" i="18"/>
  <c r="AP80" i="18" s="1"/>
  <c r="I35" i="11" s="1"/>
  <c r="AE80" i="18"/>
  <c r="AD80" i="18"/>
  <c r="AO80" i="18" s="1"/>
  <c r="I17" i="11" s="1"/>
  <c r="AP170" i="18"/>
  <c r="N35" i="11" s="1"/>
  <c r="AO170" i="18"/>
  <c r="N17" i="11" s="1"/>
  <c r="AP116" i="18"/>
  <c r="K35" i="11" s="1"/>
  <c r="AO116" i="18"/>
  <c r="K17" i="11" s="1"/>
  <c r="AP142" i="18"/>
  <c r="M26" i="11" s="1"/>
  <c r="AO142" i="18"/>
  <c r="M8" i="11" s="1"/>
  <c r="AO304" i="18"/>
  <c r="V8" i="11" s="1"/>
  <c r="AP304" i="18"/>
  <c r="V26" i="11" s="1"/>
  <c r="AI52" i="18"/>
  <c r="AP52" i="18" s="1"/>
  <c r="H26" i="11" s="1"/>
  <c r="AE52" i="18"/>
  <c r="AD52" i="18"/>
  <c r="AO52" i="18" s="1"/>
  <c r="H8" i="11" s="1"/>
  <c r="AO330" i="18"/>
  <c r="W15" i="11" s="1"/>
  <c r="AP330" i="18"/>
  <c r="W33" i="11" s="1"/>
  <c r="AP132" i="18"/>
  <c r="L33" i="11" s="1"/>
  <c r="AO132" i="18"/>
  <c r="L15" i="11" s="1"/>
  <c r="AP312" i="18"/>
  <c r="V33" i="11" s="1"/>
  <c r="AO312" i="18"/>
  <c r="V15" i="11" s="1"/>
  <c r="AO323" i="18"/>
  <c r="W9" i="11" s="1"/>
  <c r="AP323" i="18"/>
  <c r="W27" i="11" s="1"/>
  <c r="AP107" i="18"/>
  <c r="K27" i="11" s="1"/>
  <c r="AO107" i="18"/>
  <c r="K9" i="11" s="1"/>
  <c r="AP144" i="18"/>
  <c r="M28" i="11" s="1"/>
  <c r="AO144" i="18"/>
  <c r="M10" i="11" s="1"/>
  <c r="AI33" i="18"/>
  <c r="AP33" i="18" s="1"/>
  <c r="G25" i="11" s="1"/>
  <c r="AD33" i="18"/>
  <c r="AO33" i="18" s="1"/>
  <c r="G7" i="11" s="1"/>
  <c r="AE33" i="18"/>
  <c r="AP159" i="18"/>
  <c r="N25" i="11" s="1"/>
  <c r="AO159" i="18"/>
  <c r="N7" i="11" s="1"/>
  <c r="AI87" i="18"/>
  <c r="AE87" i="18"/>
  <c r="AD87" i="18"/>
  <c r="AO236" i="18"/>
  <c r="R12" i="11" s="1"/>
  <c r="AP236" i="18"/>
  <c r="R30" i="11" s="1"/>
  <c r="AO290" i="18"/>
  <c r="U12" i="11" s="1"/>
  <c r="AP290" i="18"/>
  <c r="U30" i="11" s="1"/>
  <c r="AO334" i="18"/>
  <c r="W19" i="11" s="1"/>
  <c r="AP334" i="18"/>
  <c r="W37" i="11" s="1"/>
  <c r="AO315" i="18"/>
  <c r="V18" i="11" s="1"/>
  <c r="AP315" i="18"/>
  <c r="V36" i="11" s="1"/>
  <c r="AP163" i="18"/>
  <c r="N29" i="11" s="1"/>
  <c r="AO163" i="18"/>
  <c r="N11" i="11" s="1"/>
  <c r="AP127" i="18"/>
  <c r="L29" i="11" s="1"/>
  <c r="AO127" i="18"/>
  <c r="L11" i="11" s="1"/>
  <c r="AD100" i="18"/>
  <c r="AP135" i="18"/>
  <c r="L36" i="11" s="1"/>
  <c r="AO135" i="18"/>
  <c r="L18" i="11" s="1"/>
  <c r="AP171" i="18"/>
  <c r="N36" i="11" s="1"/>
  <c r="AO171" i="18"/>
  <c r="N18" i="11" s="1"/>
  <c r="AP199" i="18"/>
  <c r="P29" i="11" s="1"/>
  <c r="AO199" i="18"/>
  <c r="P11" i="11" s="1"/>
  <c r="AO343" i="18"/>
  <c r="X11" i="11" s="1"/>
  <c r="AP343" i="18"/>
  <c r="X29" i="11" s="1"/>
  <c r="AP217" i="18"/>
  <c r="Q29" i="11" s="1"/>
  <c r="AO217" i="18"/>
  <c r="Q11" i="11" s="1"/>
  <c r="AI46" i="18"/>
  <c r="AP46" i="18" s="1"/>
  <c r="G37" i="11" s="1"/>
  <c r="AD46" i="18"/>
  <c r="AO46" i="18" s="1"/>
  <c r="G19" i="11" s="1"/>
  <c r="AE46" i="18"/>
  <c r="AI82" i="18"/>
  <c r="AP82" i="18" s="1"/>
  <c r="I37" i="11" s="1"/>
  <c r="AD82" i="18"/>
  <c r="AO82" i="18" s="1"/>
  <c r="I19" i="11" s="1"/>
  <c r="AE82" i="18"/>
  <c r="AO280" i="18"/>
  <c r="T19" i="11" s="1"/>
  <c r="AP280" i="18"/>
  <c r="T37" i="11" s="1"/>
  <c r="AI77" i="18"/>
  <c r="AP77" i="18" s="1"/>
  <c r="I32" i="11" s="1"/>
  <c r="AE77" i="18"/>
  <c r="AD77" i="18"/>
  <c r="AO77" i="18" s="1"/>
  <c r="I14" i="11" s="1"/>
  <c r="AI59" i="18"/>
  <c r="AP59" i="18" s="1"/>
  <c r="H32" i="11" s="1"/>
  <c r="AE59" i="18"/>
  <c r="AD59" i="18"/>
  <c r="AO59" i="18" s="1"/>
  <c r="H14" i="11" s="1"/>
  <c r="AO349" i="18"/>
  <c r="X16" i="11" s="1"/>
  <c r="AP349" i="18"/>
  <c r="X34" i="11" s="1"/>
  <c r="AI79" i="18"/>
  <c r="AP79" i="18" s="1"/>
  <c r="I34" i="11" s="1"/>
  <c r="AE79" i="18"/>
  <c r="AD79" i="18"/>
  <c r="AO79" i="18" s="1"/>
  <c r="I16" i="11" s="1"/>
  <c r="AP230" i="18"/>
  <c r="R24" i="11" s="1"/>
  <c r="AO230" i="18"/>
  <c r="R6" i="11" s="1"/>
  <c r="AI50" i="18"/>
  <c r="AP50" i="18" s="1"/>
  <c r="H24" i="11" s="1"/>
  <c r="AD50" i="18"/>
  <c r="AO50" i="18" s="1"/>
  <c r="H6" i="11" s="1"/>
  <c r="AE50" i="18"/>
  <c r="AO248" i="18"/>
  <c r="S6" i="11" s="1"/>
  <c r="AP248" i="18"/>
  <c r="S24" i="11" s="1"/>
  <c r="AI39" i="18"/>
  <c r="AP39" i="18" s="1"/>
  <c r="G31" i="11" s="1"/>
  <c r="AE39" i="18"/>
  <c r="G31" i="13" s="1"/>
  <c r="AD39" i="18"/>
  <c r="AO273" i="18"/>
  <c r="T13" i="11" s="1"/>
  <c r="AP273" i="18"/>
  <c r="T31" i="11" s="1"/>
  <c r="AO345" i="18"/>
  <c r="X13" i="11" s="1"/>
  <c r="AP345" i="18"/>
  <c r="X31" i="11" s="1"/>
  <c r="AI47" i="18"/>
  <c r="AP47" i="18" s="1"/>
  <c r="G38" i="11" s="1"/>
  <c r="AE47" i="18"/>
  <c r="AD47" i="18"/>
  <c r="AO47" i="18" s="1"/>
  <c r="G20" i="11" s="1"/>
  <c r="AO353" i="18"/>
  <c r="X20" i="11" s="1"/>
  <c r="AP353" i="18"/>
  <c r="X38" i="11" s="1"/>
  <c r="AI84" i="18"/>
  <c r="AP84" i="18" s="1"/>
  <c r="I39" i="11" s="1"/>
  <c r="AE84" i="18"/>
  <c r="AD84" i="18"/>
  <c r="AO84" i="18" s="1"/>
  <c r="I21" i="11" s="1"/>
  <c r="AO264" i="18"/>
  <c r="S21" i="11" s="1"/>
  <c r="AP264" i="18"/>
  <c r="S39" i="11" s="1"/>
  <c r="AP134" i="18"/>
  <c r="L35" i="11" s="1"/>
  <c r="AO134" i="18"/>
  <c r="L17" i="11" s="1"/>
  <c r="AO350" i="18"/>
  <c r="X17" i="11" s="1"/>
  <c r="AP350" i="18"/>
  <c r="X35" i="11" s="1"/>
  <c r="AP124" i="18"/>
  <c r="L26" i="11" s="1"/>
  <c r="AO124" i="18"/>
  <c r="L8" i="11" s="1"/>
  <c r="AI34" i="18"/>
  <c r="AP34" i="18" s="1"/>
  <c r="G26" i="11" s="1"/>
  <c r="AE34" i="18"/>
  <c r="AD34" i="18"/>
  <c r="AO34" i="18" s="1"/>
  <c r="G8" i="11" s="1"/>
  <c r="AP196" i="18"/>
  <c r="P26" i="11" s="1"/>
  <c r="AO196" i="18"/>
  <c r="P8" i="11" s="1"/>
  <c r="AP258" i="18"/>
  <c r="S33" i="11" s="1"/>
  <c r="AO258" i="18"/>
  <c r="S15" i="11" s="1"/>
  <c r="AP114" i="18"/>
  <c r="K33" i="11" s="1"/>
  <c r="AO114" i="18"/>
  <c r="K15" i="11" s="1"/>
  <c r="AP204" i="18"/>
  <c r="P33" i="11" s="1"/>
  <c r="AO204" i="18"/>
  <c r="P15" i="11" s="1"/>
  <c r="AP287" i="18"/>
  <c r="U27" i="11" s="1"/>
  <c r="AO287" i="18"/>
  <c r="U9" i="11" s="1"/>
  <c r="AO251" i="18"/>
  <c r="S9" i="11" s="1"/>
  <c r="AP251" i="18"/>
  <c r="S27" i="11" s="1"/>
  <c r="AO234" i="18"/>
  <c r="R10" i="11" s="1"/>
  <c r="AP234" i="18"/>
  <c r="R28" i="11" s="1"/>
  <c r="AO141" i="18"/>
  <c r="M7" i="11" s="1"/>
  <c r="AP141" i="18"/>
  <c r="M25" i="11" s="1"/>
  <c r="AP321" i="18"/>
  <c r="W25" i="11" s="1"/>
  <c r="AO321" i="18"/>
  <c r="W7" i="11" s="1"/>
  <c r="AP110" i="18"/>
  <c r="K30" i="11" s="1"/>
  <c r="AO110" i="18"/>
  <c r="K12" i="11" s="1"/>
  <c r="AI38" i="18"/>
  <c r="AP38" i="18" s="1"/>
  <c r="G30" i="11" s="1"/>
  <c r="AE38" i="18"/>
  <c r="G30" i="13" s="1"/>
  <c r="AD38" i="18"/>
  <c r="AP146" i="18"/>
  <c r="M30" i="11" s="1"/>
  <c r="AO146" i="18"/>
  <c r="M12" i="11" s="1"/>
  <c r="AP189" i="18"/>
  <c r="O36" i="11" s="1"/>
  <c r="AO189" i="18"/>
  <c r="O18" i="11" s="1"/>
  <c r="AI73" i="18"/>
  <c r="AP73" i="18" s="1"/>
  <c r="I29" i="11" s="1"/>
  <c r="AE73" i="18"/>
  <c r="I29" i="13" s="1"/>
  <c r="AD73" i="18"/>
  <c r="AP100" i="18"/>
  <c r="J37" i="11" s="1"/>
  <c r="AO100" i="18"/>
  <c r="J19" i="11" s="1"/>
  <c r="AP297" i="18"/>
  <c r="U36" i="11" s="1"/>
  <c r="AO297" i="18"/>
  <c r="U18" i="11" s="1"/>
  <c r="AP145" i="18"/>
  <c r="M29" i="11" s="1"/>
  <c r="AO145" i="18"/>
  <c r="M11" i="11" s="1"/>
  <c r="AP271" i="18"/>
  <c r="T29" i="11" s="1"/>
  <c r="AO271" i="18"/>
  <c r="T11" i="11" s="1"/>
  <c r="AI91" i="18"/>
  <c r="AE91" i="18"/>
  <c r="J29" i="13" s="1"/>
  <c r="AD91" i="18"/>
  <c r="AO172" i="18"/>
  <c r="N19" i="11" s="1"/>
  <c r="AP172" i="18"/>
  <c r="N37" i="11" s="1"/>
  <c r="AO316" i="18"/>
  <c r="V19" i="11" s="1"/>
  <c r="AP316" i="18"/>
  <c r="V37" i="11" s="1"/>
  <c r="AP154" i="18"/>
  <c r="M37" i="11" s="1"/>
  <c r="AO154" i="18"/>
  <c r="M19" i="11" s="1"/>
  <c r="AP293" i="18"/>
  <c r="U32" i="11" s="1"/>
  <c r="AO293" i="18"/>
  <c r="U14" i="11" s="1"/>
  <c r="AP113" i="18"/>
  <c r="K32" i="11" s="1"/>
  <c r="AO113" i="18"/>
  <c r="K14" i="11" s="1"/>
  <c r="AI61" i="18"/>
  <c r="AP61" i="18" s="1"/>
  <c r="H34" i="11" s="1"/>
  <c r="AD61" i="18"/>
  <c r="AO61" i="18" s="1"/>
  <c r="H16" i="11" s="1"/>
  <c r="AE61" i="18"/>
  <c r="AP133" i="18"/>
  <c r="L34" i="11" s="1"/>
  <c r="AO133" i="18"/>
  <c r="L16" i="11" s="1"/>
  <c r="AO277" i="18"/>
  <c r="T16" i="11" s="1"/>
  <c r="AP277" i="18"/>
  <c r="T34" i="11" s="1"/>
  <c r="AP140" i="18"/>
  <c r="M24" i="11" s="1"/>
  <c r="AO140" i="18"/>
  <c r="M6" i="11" s="1"/>
  <c r="AP338" i="18"/>
  <c r="X24" i="11" s="1"/>
  <c r="AO338" i="18"/>
  <c r="X6" i="11" s="1"/>
  <c r="AO194" i="18"/>
  <c r="P6" i="11" s="1"/>
  <c r="AP194" i="18"/>
  <c r="P24" i="11" s="1"/>
  <c r="AP183" i="18"/>
  <c r="O31" i="11" s="1"/>
  <c r="AO183" i="18"/>
  <c r="O13" i="11" s="1"/>
  <c r="AP111" i="18"/>
  <c r="K31" i="11" s="1"/>
  <c r="AO111" i="18"/>
  <c r="K13" i="11" s="1"/>
  <c r="AI75" i="18"/>
  <c r="AP75" i="18" s="1"/>
  <c r="I31" i="11" s="1"/>
  <c r="AE75" i="18"/>
  <c r="I31" i="13" s="1"/>
  <c r="AD75" i="18"/>
  <c r="AP155" i="18"/>
  <c r="M38" i="11" s="1"/>
  <c r="AO155" i="18"/>
  <c r="M20" i="11" s="1"/>
  <c r="AO209" i="18"/>
  <c r="P20" i="11" s="1"/>
  <c r="AP209" i="18"/>
  <c r="P38" i="11" s="1"/>
  <c r="AO246" i="18"/>
  <c r="R21" i="11" s="1"/>
  <c r="AP246" i="18"/>
  <c r="R39" i="11" s="1"/>
  <c r="AO336" i="18"/>
  <c r="W21" i="11" s="1"/>
  <c r="AP336" i="18"/>
  <c r="W39" i="11" s="1"/>
  <c r="AO174" i="18"/>
  <c r="N21" i="11" s="1"/>
  <c r="AP174" i="18"/>
  <c r="N39" i="11" s="1"/>
  <c r="AO278" i="18"/>
  <c r="T17" i="11" s="1"/>
  <c r="AP278" i="18"/>
  <c r="T35" i="11" s="1"/>
  <c r="AO296" i="18"/>
  <c r="U17" i="11" s="1"/>
  <c r="AP296" i="18"/>
  <c r="U35" i="11" s="1"/>
  <c r="AP98" i="18"/>
  <c r="J35" i="11" s="1"/>
  <c r="AO98" i="18"/>
  <c r="J17" i="11" s="1"/>
  <c r="AP106" i="18"/>
  <c r="K26" i="11" s="1"/>
  <c r="G8" i="19" s="1"/>
  <c r="AO106" i="18"/>
  <c r="K8" i="11" s="1"/>
  <c r="AP178" i="18"/>
  <c r="O26" i="11" s="1"/>
  <c r="AO178" i="18"/>
  <c r="O8" i="11" s="1"/>
  <c r="AO214" i="18"/>
  <c r="Q8" i="11" s="1"/>
  <c r="AP214" i="18"/>
  <c r="Q26" i="11" s="1"/>
  <c r="AO240" i="18"/>
  <c r="R15" i="11" s="1"/>
  <c r="AP240" i="18"/>
  <c r="R33" i="11" s="1"/>
  <c r="AP276" i="18"/>
  <c r="T33" i="11" s="1"/>
  <c r="AO276" i="18"/>
  <c r="T15" i="11" s="1"/>
  <c r="AI60" i="18"/>
  <c r="AP60" i="18" s="1"/>
  <c r="H33" i="11" s="1"/>
  <c r="AE60" i="18"/>
  <c r="AD60" i="18"/>
  <c r="AO60" i="18" s="1"/>
  <c r="H15" i="11" s="1"/>
  <c r="AI89" i="18"/>
  <c r="AD89" i="18"/>
  <c r="AE89" i="18"/>
  <c r="J27" i="13" s="1"/>
  <c r="AO180" i="18"/>
  <c r="O10" i="11" s="1"/>
  <c r="AP180" i="18"/>
  <c r="O28" i="11" s="1"/>
  <c r="AP324" i="18"/>
  <c r="W28" i="11" s="1"/>
  <c r="AO324" i="18"/>
  <c r="W10" i="11" s="1"/>
  <c r="AI51" i="18"/>
  <c r="AP51" i="18" s="1"/>
  <c r="H25" i="11" s="1"/>
  <c r="AE51" i="18"/>
  <c r="AD51" i="18"/>
  <c r="AO51" i="18" s="1"/>
  <c r="H7" i="11" s="1"/>
  <c r="AP105" i="18"/>
  <c r="K25" i="11" s="1"/>
  <c r="AO105" i="18"/>
  <c r="K7" i="11" s="1"/>
  <c r="AI69" i="18"/>
  <c r="AP69" i="18" s="1"/>
  <c r="I25" i="11" s="1"/>
  <c r="AE69" i="18"/>
  <c r="AD69" i="18"/>
  <c r="AO69" i="18" s="1"/>
  <c r="I7" i="11" s="1"/>
  <c r="AI92" i="18"/>
  <c r="AD92" i="18"/>
  <c r="AE92" i="18"/>
  <c r="J30" i="13" s="1"/>
  <c r="AI56" i="18"/>
  <c r="AP56" i="18" s="1"/>
  <c r="H30" i="11" s="1"/>
  <c r="AE56" i="18"/>
  <c r="H30" i="13" s="1"/>
  <c r="AD56" i="18"/>
  <c r="AO326" i="18"/>
  <c r="W12" i="11" s="1"/>
  <c r="AP326" i="18"/>
  <c r="W30" i="11" s="1"/>
  <c r="AO289" i="18"/>
  <c r="U11" i="11" s="1"/>
  <c r="AP289" i="18"/>
  <c r="U29" i="11" s="1"/>
  <c r="AP253" i="18"/>
  <c r="S29" i="11" s="1"/>
  <c r="AO253" i="18"/>
  <c r="S11" i="11" s="1"/>
  <c r="AI41" i="18"/>
  <c r="AP41" i="18" s="1"/>
  <c r="G32" i="11" s="1"/>
  <c r="AE41" i="18"/>
  <c r="AD41" i="18"/>
  <c r="AO41" i="18" s="1"/>
  <c r="G14" i="11" s="1"/>
  <c r="AO221" i="18"/>
  <c r="Q14" i="11" s="1"/>
  <c r="AP221" i="18"/>
  <c r="Q32" i="11" s="1"/>
  <c r="AP225" i="18"/>
  <c r="Q36" i="11" s="1"/>
  <c r="AO225" i="18"/>
  <c r="Q18" i="11" s="1"/>
  <c r="AP190" i="18"/>
  <c r="O37" i="11" s="1"/>
  <c r="AO190" i="18"/>
  <c r="O19" i="11" s="1"/>
  <c r="AE100" i="18"/>
  <c r="AO261" i="18"/>
  <c r="S18" i="11" s="1"/>
  <c r="AP261" i="18"/>
  <c r="S36" i="11" s="1"/>
  <c r="AO207" i="18"/>
  <c r="P18" i="11" s="1"/>
  <c r="AP207" i="18"/>
  <c r="P36" i="11" s="1"/>
  <c r="AD96" i="18"/>
  <c r="AP117" i="18"/>
  <c r="K36" i="11" s="1"/>
  <c r="AO117" i="18"/>
  <c r="K18" i="11" s="1"/>
  <c r="AI45" i="18"/>
  <c r="AP45" i="18" s="1"/>
  <c r="G36" i="11" s="1"/>
  <c r="AE45" i="18"/>
  <c r="AD45" i="18"/>
  <c r="AO45" i="18" s="1"/>
  <c r="G18" i="11" s="1"/>
  <c r="AI63" i="18"/>
  <c r="AP63" i="18" s="1"/>
  <c r="H36" i="11" s="1"/>
  <c r="AE63" i="18"/>
  <c r="AD63" i="18"/>
  <c r="AO63" i="18" s="1"/>
  <c r="H18" i="11" s="1"/>
  <c r="AP109" i="18"/>
  <c r="K29" i="11" s="1"/>
  <c r="AO109" i="18"/>
  <c r="K11" i="11" s="1"/>
  <c r="AI37" i="18"/>
  <c r="AP37" i="18" s="1"/>
  <c r="G29" i="11" s="1"/>
  <c r="AE37" i="18"/>
  <c r="G29" i="13" s="1"/>
  <c r="AD37" i="18"/>
  <c r="AO307" i="18"/>
  <c r="V11" i="11" s="1"/>
  <c r="AP307" i="18"/>
  <c r="V29" i="11" s="1"/>
  <c r="AO118" i="18"/>
  <c r="K19" i="11" s="1"/>
  <c r="AP118" i="18"/>
  <c r="K37" i="11" s="1"/>
  <c r="AP244" i="18"/>
  <c r="R37" i="11" s="1"/>
  <c r="AO244" i="18"/>
  <c r="R19" i="11" s="1"/>
  <c r="AO262" i="18"/>
  <c r="S19" i="11" s="1"/>
  <c r="AP262" i="18"/>
  <c r="S37" i="11" s="1"/>
  <c r="AO167" i="18"/>
  <c r="N14" i="11" s="1"/>
  <c r="AP167" i="18"/>
  <c r="N32" i="11" s="1"/>
  <c r="AP275" i="18"/>
  <c r="T32" i="11" s="1"/>
  <c r="AO275" i="18"/>
  <c r="T14" i="11" s="1"/>
  <c r="AO331" i="18"/>
  <c r="W16" i="11" s="1"/>
  <c r="AP331" i="18"/>
  <c r="W34" i="11" s="1"/>
  <c r="AO223" i="18"/>
  <c r="Q16" i="11" s="1"/>
  <c r="AP223" i="18"/>
  <c r="Q34" i="11" s="1"/>
  <c r="AP122" i="18"/>
  <c r="L24" i="11" s="1"/>
  <c r="AO122" i="18"/>
  <c r="L6" i="11" s="1"/>
  <c r="AP302" i="18"/>
  <c r="V24" i="11" s="1"/>
  <c r="AO302" i="18"/>
  <c r="V6" i="11" s="1"/>
  <c r="AO320" i="18"/>
  <c r="W6" i="11" s="1"/>
  <c r="AP320" i="18"/>
  <c r="W24" i="11" s="1"/>
  <c r="AO327" i="18"/>
  <c r="W13" i="11" s="1"/>
  <c r="AP327" i="18"/>
  <c r="W31" i="11" s="1"/>
  <c r="AO219" i="18"/>
  <c r="Q13" i="11" s="1"/>
  <c r="AP219" i="18"/>
  <c r="Q31" i="11" s="1"/>
  <c r="AP101" i="18"/>
  <c r="J38" i="11" s="1"/>
  <c r="AO101" i="18"/>
  <c r="J20" i="11" s="1"/>
  <c r="AO245" i="18"/>
  <c r="R20" i="11" s="1"/>
  <c r="AP245" i="18"/>
  <c r="R38" i="11" s="1"/>
  <c r="AP191" i="18"/>
  <c r="O38" i="11" s="1"/>
  <c r="AO191" i="18"/>
  <c r="O20" i="11" s="1"/>
  <c r="AO282" i="18"/>
  <c r="T21" i="11" s="1"/>
  <c r="AP282" i="18"/>
  <c r="T39" i="11" s="1"/>
  <c r="AP138" i="18"/>
  <c r="L39" i="11" s="1"/>
  <c r="AO138" i="18"/>
  <c r="L21" i="11" s="1"/>
  <c r="AI44" i="18"/>
  <c r="AP44" i="18" s="1"/>
  <c r="G35" i="11" s="1"/>
  <c r="AD44" i="18"/>
  <c r="AO44" i="18" s="1"/>
  <c r="G17" i="11" s="1"/>
  <c r="AE44" i="18"/>
  <c r="AO206" i="18"/>
  <c r="P17" i="11" s="1"/>
  <c r="AP206" i="18"/>
  <c r="P35" i="11" s="1"/>
  <c r="AP340" i="18"/>
  <c r="X26" i="11" s="1"/>
  <c r="AO340" i="18"/>
  <c r="X8" i="11" s="1"/>
  <c r="AO286" i="18"/>
  <c r="U8" i="11" s="1"/>
  <c r="AP286" i="18"/>
  <c r="U26" i="11" s="1"/>
  <c r="AO222" i="18"/>
  <c r="Q15" i="11" s="1"/>
  <c r="AP222" i="18"/>
  <c r="Q33" i="11" s="1"/>
  <c r="AO168" i="18"/>
  <c r="N15" i="11" s="1"/>
  <c r="AP168" i="18"/>
  <c r="N33" i="11" s="1"/>
  <c r="AP305" i="18"/>
  <c r="V27" i="11" s="1"/>
  <c r="AO305" i="18"/>
  <c r="V9" i="11" s="1"/>
  <c r="AI35" i="18"/>
  <c r="AP35" i="18" s="1"/>
  <c r="G27" i="11" s="1"/>
  <c r="AD35" i="18"/>
  <c r="AE35" i="18"/>
  <c r="G27" i="13" s="1"/>
  <c r="AO269" i="18"/>
  <c r="T9" i="11" s="1"/>
  <c r="AP269" i="18"/>
  <c r="T27" i="11" s="1"/>
  <c r="AI36" i="18"/>
  <c r="AP36" i="18" s="1"/>
  <c r="G28" i="11" s="1"/>
  <c r="AE36" i="18"/>
  <c r="G28" i="13" s="1"/>
  <c r="AD36" i="18"/>
  <c r="AP162" i="18"/>
  <c r="N28" i="11" s="1"/>
  <c r="AO162" i="18"/>
  <c r="N10" i="11" s="1"/>
  <c r="AO108" i="18"/>
  <c r="K10" i="11" s="1"/>
  <c r="AP108" i="18"/>
  <c r="K28" i="11" s="1"/>
  <c r="AP339" i="18"/>
  <c r="X25" i="11" s="1"/>
  <c r="AO339" i="18"/>
  <c r="X7" i="11" s="1"/>
  <c r="AO303" i="18"/>
  <c r="V7" i="11" s="1"/>
  <c r="AP303" i="18"/>
  <c r="V25" i="11" s="1"/>
  <c r="AO272" i="18"/>
  <c r="T12" i="11" s="1"/>
  <c r="AP272" i="18"/>
  <c r="T30" i="11" s="1"/>
  <c r="AP218" i="18"/>
  <c r="Q30" i="11" s="1"/>
  <c r="AO218" i="18"/>
  <c r="Q12" i="11" s="1"/>
  <c r="AO164" i="18"/>
  <c r="N12" i="11" s="1"/>
  <c r="AP164" i="18"/>
  <c r="N30" i="11" s="1"/>
  <c r="AO227" i="18"/>
  <c r="Q20" i="11" s="1"/>
  <c r="AP227" i="18"/>
  <c r="Q38" i="11" s="1"/>
  <c r="AO300" i="18"/>
  <c r="U21" i="11" s="1"/>
  <c r="AP300" i="18"/>
  <c r="U39" i="11" s="1"/>
  <c r="AO228" i="18"/>
  <c r="Q21" i="11" s="1"/>
  <c r="AP228" i="18"/>
  <c r="Q39" i="11" s="1"/>
  <c r="AP260" i="18"/>
  <c r="S35" i="11" s="1"/>
  <c r="AO260" i="18"/>
  <c r="S17" i="11" s="1"/>
  <c r="AI62" i="18"/>
  <c r="AP62" i="18" s="1"/>
  <c r="H35" i="11" s="1"/>
  <c r="AE62" i="18"/>
  <c r="AD62" i="18"/>
  <c r="AO62" i="18" s="1"/>
  <c r="H17" i="11" s="1"/>
  <c r="AI88" i="18"/>
  <c r="AE88" i="18"/>
  <c r="AD88" i="18"/>
  <c r="AO348" i="18"/>
  <c r="X15" i="11" s="1"/>
  <c r="AP348" i="18"/>
  <c r="X33" i="11" s="1"/>
  <c r="AP143" i="18"/>
  <c r="M27" i="11" s="1"/>
  <c r="AO143" i="18"/>
  <c r="M9" i="11" s="1"/>
  <c r="AO233" i="18"/>
  <c r="R9" i="11" s="1"/>
  <c r="AP233" i="18"/>
  <c r="R27" i="11" s="1"/>
  <c r="AI71" i="18"/>
  <c r="AP71" i="18" s="1"/>
  <c r="I27" i="11" s="1"/>
  <c r="AE71" i="18"/>
  <c r="I27" i="13" s="1"/>
  <c r="AD71" i="18"/>
  <c r="AP54" i="18"/>
  <c r="H28" i="11" s="1"/>
  <c r="AE54" i="18"/>
  <c r="H28" i="13" s="1"/>
  <c r="AD54" i="18"/>
  <c r="AI72" i="18"/>
  <c r="AP72" i="18" s="1"/>
  <c r="I28" i="11" s="1"/>
  <c r="AE72" i="18"/>
  <c r="I28" i="13" s="1"/>
  <c r="AD72" i="18"/>
  <c r="AO288" i="18"/>
  <c r="U10" i="11" s="1"/>
  <c r="AP288" i="18"/>
  <c r="U28" i="11" s="1"/>
  <c r="AO267" i="18"/>
  <c r="T7" i="11" s="1"/>
  <c r="AP267" i="18"/>
  <c r="T25" i="11" s="1"/>
  <c r="AP177" i="18"/>
  <c r="O25" i="11" s="1"/>
  <c r="AO177" i="18"/>
  <c r="O7" i="11" s="1"/>
  <c r="AP200" i="18"/>
  <c r="P30" i="11" s="1"/>
  <c r="AO200" i="18"/>
  <c r="P12" i="11" s="1"/>
  <c r="AP182" i="18"/>
  <c r="O30" i="11" s="1"/>
  <c r="AO182" i="18"/>
  <c r="O12" i="11" s="1"/>
  <c r="AO308" i="18"/>
  <c r="V12" i="11" s="1"/>
  <c r="AP308" i="18"/>
  <c r="V30" i="11" s="1"/>
  <c r="AO226" i="18"/>
  <c r="Q19" i="11" s="1"/>
  <c r="AP226" i="18"/>
  <c r="Q37" i="11" s="1"/>
  <c r="AP136" i="18"/>
  <c r="L37" i="11" s="1"/>
  <c r="AO136" i="18"/>
  <c r="L19" i="11" s="1"/>
  <c r="AP185" i="18"/>
  <c r="O32" i="11" s="1"/>
  <c r="AO185" i="18"/>
  <c r="O14" i="11" s="1"/>
  <c r="AO203" i="18"/>
  <c r="P14" i="11" s="1"/>
  <c r="AP203" i="18"/>
  <c r="P32" i="11" s="1"/>
  <c r="AO347" i="18"/>
  <c r="X14" i="11" s="1"/>
  <c r="AP347" i="18"/>
  <c r="X32" i="11" s="1"/>
  <c r="AO313" i="18"/>
  <c r="V16" i="11" s="1"/>
  <c r="AP313" i="18"/>
  <c r="V34" i="11" s="1"/>
  <c r="AO205" i="18"/>
  <c r="P16" i="11" s="1"/>
  <c r="AP205" i="18"/>
  <c r="P34" i="11" s="1"/>
  <c r="AI86" i="18"/>
  <c r="AE86" i="18"/>
  <c r="AD86" i="18"/>
  <c r="AP158" i="18"/>
  <c r="N24" i="11" s="1"/>
  <c r="AO158" i="18"/>
  <c r="N6" i="11" s="1"/>
  <c r="AI57" i="18"/>
  <c r="AP57" i="18" s="1"/>
  <c r="H31" i="11" s="1"/>
  <c r="AE57" i="18"/>
  <c r="H31" i="13" s="1"/>
  <c r="AD57" i="18"/>
  <c r="AO281" i="18"/>
  <c r="T20" i="11" s="1"/>
  <c r="AP281" i="18"/>
  <c r="T38" i="11" s="1"/>
  <c r="AO317" i="18"/>
  <c r="V20" i="11" s="1"/>
  <c r="AP317" i="18"/>
  <c r="V38" i="11" s="1"/>
  <c r="AP153" i="18"/>
  <c r="M36" i="11" s="1"/>
  <c r="AO153" i="18"/>
  <c r="M18" i="11" s="1"/>
  <c r="AP325" i="18"/>
  <c r="W29" i="11" s="1"/>
  <c r="AO325" i="18"/>
  <c r="W11" i="11" s="1"/>
  <c r="AI64" i="18"/>
  <c r="AP64" i="18" s="1"/>
  <c r="H37" i="11" s="1"/>
  <c r="AD64" i="18"/>
  <c r="AO64" i="18" s="1"/>
  <c r="H19" i="11" s="1"/>
  <c r="AE64" i="18"/>
  <c r="AP131" i="18"/>
  <c r="L32" i="11" s="1"/>
  <c r="AO131" i="18"/>
  <c r="L14" i="11" s="1"/>
  <c r="AO239" i="18"/>
  <c r="R14" i="11" s="1"/>
  <c r="AP239" i="18"/>
  <c r="R32" i="11" s="1"/>
  <c r="AP149" i="18"/>
  <c r="M32" i="11" s="1"/>
  <c r="AO149" i="18"/>
  <c r="M14" i="11" s="1"/>
  <c r="AO259" i="18"/>
  <c r="S16" i="11" s="1"/>
  <c r="AP259" i="18"/>
  <c r="S34" i="11" s="1"/>
  <c r="AP169" i="18"/>
  <c r="N34" i="11" s="1"/>
  <c r="AO169" i="18"/>
  <c r="N16" i="11" s="1"/>
  <c r="AP212" i="18"/>
  <c r="Q24" i="11" s="1"/>
  <c r="AO212" i="18"/>
  <c r="Q6" i="11" s="1"/>
  <c r="AP284" i="18"/>
  <c r="U24" i="11" s="1"/>
  <c r="AO284" i="18"/>
  <c r="U6" i="11" s="1"/>
  <c r="AO165" i="18"/>
  <c r="N13" i="11" s="1"/>
  <c r="AP165" i="18"/>
  <c r="N31" i="11" s="1"/>
  <c r="AO255" i="18"/>
  <c r="S13" i="11" s="1"/>
  <c r="AP255" i="18"/>
  <c r="S31" i="11" s="1"/>
  <c r="AO335" i="18"/>
  <c r="W20" i="11" s="1"/>
  <c r="AP335" i="18"/>
  <c r="W38" i="11" s="1"/>
  <c r="AP137" i="18"/>
  <c r="L38" i="11" s="1"/>
  <c r="AO137" i="18"/>
  <c r="L20" i="11" s="1"/>
  <c r="AO119" i="18"/>
  <c r="K20" i="11" s="1"/>
  <c r="AP119" i="18"/>
  <c r="K38" i="11" s="1"/>
  <c r="AI48" i="18"/>
  <c r="AP48" i="18" s="1"/>
  <c r="G39" i="11" s="1"/>
  <c r="AD48" i="18"/>
  <c r="AO48" i="18" s="1"/>
  <c r="G21" i="11" s="1"/>
  <c r="AE48" i="18"/>
  <c r="AO318" i="18"/>
  <c r="V21" i="11" s="1"/>
  <c r="AP318" i="18"/>
  <c r="V39" i="11" s="1"/>
  <c r="AO332" i="18"/>
  <c r="W17" i="11" s="1"/>
  <c r="AP332" i="18"/>
  <c r="W35" i="11" s="1"/>
  <c r="AO314" i="18"/>
  <c r="V17" i="11" s="1"/>
  <c r="AP314" i="18"/>
  <c r="V35" i="11" s="1"/>
  <c r="AO322" i="18"/>
  <c r="W8" i="11" s="1"/>
  <c r="AP322" i="18"/>
  <c r="W26" i="11" s="1"/>
  <c r="AO268" i="18"/>
  <c r="T8" i="11" s="1"/>
  <c r="AP268" i="18"/>
  <c r="T26" i="11" s="1"/>
  <c r="AP186" i="18"/>
  <c r="O33" i="11" s="1"/>
  <c r="AO186" i="18"/>
  <c r="O15" i="11" s="1"/>
  <c r="AP96" i="18"/>
  <c r="J33" i="11" s="1"/>
  <c r="AO96" i="18"/>
  <c r="J15" i="11" s="1"/>
  <c r="AO197" i="18"/>
  <c r="P9" i="11" s="1"/>
  <c r="AP197" i="18"/>
  <c r="P27" i="11" s="1"/>
  <c r="AO125" i="18"/>
  <c r="L9" i="11" s="1"/>
  <c r="AP125" i="18"/>
  <c r="L27" i="11" s="1"/>
  <c r="AP215" i="18"/>
  <c r="Q27" i="11" s="1"/>
  <c r="AO215" i="18"/>
  <c r="Q9" i="11" s="1"/>
  <c r="AO342" i="18"/>
  <c r="X10" i="11" s="1"/>
  <c r="AP342" i="18"/>
  <c r="X28" i="11" s="1"/>
  <c r="AP216" i="18"/>
  <c r="Q28" i="11" s="1"/>
  <c r="AO216" i="18"/>
  <c r="Q10" i="11" s="1"/>
  <c r="AI90" i="18"/>
  <c r="AE90" i="18"/>
  <c r="J28" i="13" s="1"/>
  <c r="AD90" i="18"/>
  <c r="AO231" i="18"/>
  <c r="R7" i="11" s="1"/>
  <c r="AP231" i="18"/>
  <c r="R25" i="11" s="1"/>
  <c r="AO249" i="18"/>
  <c r="S7" i="11" s="1"/>
  <c r="AP249" i="18"/>
  <c r="S25" i="11" s="1"/>
  <c r="AI74" i="18"/>
  <c r="AP74" i="18" s="1"/>
  <c r="I30" i="11" s="1"/>
  <c r="AD74" i="18"/>
  <c r="AE74" i="18"/>
  <c r="I30" i="13" s="1"/>
  <c r="AI32" i="18"/>
  <c r="AP32" i="18" s="1"/>
  <c r="G24" i="11" s="1"/>
  <c r="AE32" i="18"/>
  <c r="AD32" i="18"/>
  <c r="AO32" i="18" s="1"/>
  <c r="G6" i="11" s="1"/>
  <c r="AP243" i="18"/>
  <c r="R36" i="11" s="1"/>
  <c r="AO243" i="18"/>
  <c r="R18" i="11" s="1"/>
  <c r="AI81" i="18"/>
  <c r="AP81" i="18" s="1"/>
  <c r="I36" i="11" s="1"/>
  <c r="AE81" i="18"/>
  <c r="AD81" i="18"/>
  <c r="AO81" i="18" s="1"/>
  <c r="I18" i="11" s="1"/>
  <c r="AO333" i="18"/>
  <c r="W18" i="11" s="1"/>
  <c r="AP333" i="18"/>
  <c r="W36" i="11" s="1"/>
  <c r="AP181" i="18"/>
  <c r="O29" i="11" s="1"/>
  <c r="AO181" i="18"/>
  <c r="O11" i="11" s="1"/>
  <c r="AO298" i="18"/>
  <c r="U19" i="11" s="1"/>
  <c r="AP298" i="18"/>
  <c r="U37" i="11" s="1"/>
  <c r="AP208" i="18"/>
  <c r="P37" i="11" s="1"/>
  <c r="AO208" i="18"/>
  <c r="P19" i="11" s="1"/>
  <c r="AP329" i="18"/>
  <c r="W32" i="11" s="1"/>
  <c r="AO329" i="18"/>
  <c r="W14" i="11" s="1"/>
  <c r="AP95" i="18"/>
  <c r="J32" i="11" s="1"/>
  <c r="AO95" i="18"/>
  <c r="J14" i="11" s="1"/>
  <c r="AP257" i="18"/>
  <c r="S32" i="11" s="1"/>
  <c r="AO257" i="18"/>
  <c r="S14" i="11" s="1"/>
  <c r="AI97" i="18"/>
  <c r="AE97" i="18"/>
  <c r="AD97" i="18"/>
  <c r="AP176" i="18"/>
  <c r="O24" i="11" s="1"/>
  <c r="AO176" i="18"/>
  <c r="O6" i="11" s="1"/>
  <c r="AI68" i="18"/>
  <c r="AP68" i="18" s="1"/>
  <c r="I24" i="11" s="1"/>
  <c r="AE68" i="18"/>
  <c r="AD68" i="18"/>
  <c r="AO68" i="18" s="1"/>
  <c r="I6" i="11" s="1"/>
  <c r="AP237" i="18"/>
  <c r="R31" i="11" s="1"/>
  <c r="AO237" i="18"/>
  <c r="R13" i="11" s="1"/>
  <c r="AP201" i="18"/>
  <c r="P31" i="11" s="1"/>
  <c r="AO201" i="18"/>
  <c r="P13" i="11" s="1"/>
  <c r="AI83" i="18"/>
  <c r="AP83" i="18" s="1"/>
  <c r="I38" i="11" s="1"/>
  <c r="AE83" i="18"/>
  <c r="AD83" i="18"/>
  <c r="AO83" i="18" s="1"/>
  <c r="I20" i="11" s="1"/>
  <c r="AI65" i="18"/>
  <c r="AP65" i="18" s="1"/>
  <c r="H38" i="11" s="1"/>
  <c r="AE65" i="18"/>
  <c r="AD65" i="18"/>
  <c r="AO65" i="18" s="1"/>
  <c r="H20" i="11" s="1"/>
  <c r="AO299" i="18"/>
  <c r="U20" i="11" s="1"/>
  <c r="AP299" i="18"/>
  <c r="U38" i="11" s="1"/>
  <c r="AP156" i="18"/>
  <c r="M39" i="11" s="1"/>
  <c r="AO156" i="18"/>
  <c r="M21" i="11" s="1"/>
  <c r="AI66" i="18"/>
  <c r="AP66" i="18" s="1"/>
  <c r="H39" i="11" s="1"/>
  <c r="AE66" i="18"/>
  <c r="AD66" i="18"/>
  <c r="AO66" i="18" s="1"/>
  <c r="H21" i="11" s="1"/>
  <c r="AP242" i="18"/>
  <c r="R35" i="11" s="1"/>
  <c r="AO242" i="18"/>
  <c r="R17" i="11" s="1"/>
  <c r="AP152" i="18"/>
  <c r="M35" i="11" s="1"/>
  <c r="AO152" i="18"/>
  <c r="M17" i="11" s="1"/>
  <c r="AI70" i="18"/>
  <c r="AP70" i="18" s="1"/>
  <c r="I26" i="11" s="1"/>
  <c r="AE70" i="18"/>
  <c r="AD70" i="18"/>
  <c r="AO70" i="18" s="1"/>
  <c r="I8" i="11" s="1"/>
  <c r="AP294" i="18"/>
  <c r="U33" i="11" s="1"/>
  <c r="AO294" i="18"/>
  <c r="U15" i="11" s="1"/>
  <c r="AP161" i="18"/>
  <c r="N27" i="11" s="1"/>
  <c r="AO161" i="18"/>
  <c r="N9" i="11" s="1"/>
  <c r="AO179" i="18"/>
  <c r="O9" i="11" s="1"/>
  <c r="AP179" i="18"/>
  <c r="O27" i="11" s="1"/>
  <c r="AP306" i="18"/>
  <c r="V28" i="11" s="1"/>
  <c r="AO306" i="18"/>
  <c r="V10" i="11" s="1"/>
  <c r="AO198" i="18"/>
  <c r="P10" i="11" s="1"/>
  <c r="AP198" i="18"/>
  <c r="P28" i="11" s="1"/>
  <c r="AP270" i="18"/>
  <c r="T28" i="11" s="1"/>
  <c r="AO270" i="18"/>
  <c r="T10" i="11" s="1"/>
  <c r="AO195" i="18"/>
  <c r="P7" i="11" s="1"/>
  <c r="AP195" i="18"/>
  <c r="P25" i="11" s="1"/>
  <c r="AP123" i="18"/>
  <c r="L25" i="11" s="1"/>
  <c r="AO123" i="18"/>
  <c r="L7" i="11" s="1"/>
  <c r="AP128" i="18"/>
  <c r="L30" i="11" s="1"/>
  <c r="AO128" i="18"/>
  <c r="L12" i="11" s="1"/>
  <c r="AD98" i="18"/>
  <c r="AE98" i="18"/>
  <c r="AE99" i="18"/>
  <c r="AD99" i="18"/>
  <c r="AO75" i="18" l="1"/>
  <c r="I13" i="11" s="1"/>
  <c r="AP91" i="18"/>
  <c r="J29" i="11" s="1"/>
  <c r="AO91" i="18"/>
  <c r="J11" i="11" s="1"/>
  <c r="AO38" i="18"/>
  <c r="G12" i="11" s="1"/>
  <c r="AO54" i="18"/>
  <c r="H10" i="11" s="1"/>
  <c r="AO36" i="18"/>
  <c r="G10" i="11" s="1"/>
  <c r="AO73" i="18"/>
  <c r="I11" i="11" s="1"/>
  <c r="F19" i="19"/>
  <c r="AP89" i="18"/>
  <c r="J27" i="11" s="1"/>
  <c r="AO89" i="18"/>
  <c r="J9" i="11" s="1"/>
  <c r="AO53" i="18"/>
  <c r="H9" i="11" s="1"/>
  <c r="F15" i="19"/>
  <c r="AP86" i="18"/>
  <c r="J24" i="11" s="1"/>
  <c r="AO86" i="18"/>
  <c r="J6" i="11" s="1"/>
  <c r="AO92" i="18"/>
  <c r="J12" i="11" s="1"/>
  <c r="AP92" i="18"/>
  <c r="J30" i="11" s="1"/>
  <c r="AO55" i="18"/>
  <c r="H11" i="11" s="1"/>
  <c r="AO57" i="18"/>
  <c r="H13" i="11" s="1"/>
  <c r="AO71" i="18"/>
  <c r="I9" i="11" s="1"/>
  <c r="AO37" i="18"/>
  <c r="G11" i="11" s="1"/>
  <c r="F18" i="19"/>
  <c r="AP87" i="18"/>
  <c r="J25" i="11" s="1"/>
  <c r="AO87" i="18"/>
  <c r="J7" i="11" s="1"/>
  <c r="F7" i="19" s="1"/>
  <c r="AP97" i="18"/>
  <c r="J34" i="11" s="1"/>
  <c r="AO97" i="18"/>
  <c r="J16" i="11" s="1"/>
  <c r="F16" i="19" s="1"/>
  <c r="AO74" i="18"/>
  <c r="I12" i="11" s="1"/>
  <c r="AP90" i="18"/>
  <c r="J28" i="11" s="1"/>
  <c r="G10" i="19" s="1"/>
  <c r="AO90" i="18"/>
  <c r="J10" i="11" s="1"/>
  <c r="F14" i="19"/>
  <c r="AO72" i="18"/>
  <c r="I10" i="11" s="1"/>
  <c r="F17" i="19"/>
  <c r="AO56" i="18"/>
  <c r="H12" i="11" s="1"/>
  <c r="AO39" i="18"/>
  <c r="G13" i="11" s="1"/>
  <c r="AP93" i="18"/>
  <c r="J31" i="11" s="1"/>
  <c r="AO93" i="18"/>
  <c r="J13" i="11" s="1"/>
  <c r="F21" i="19"/>
  <c r="AP88" i="18"/>
  <c r="J26" i="11" s="1"/>
  <c r="AO88" i="18"/>
  <c r="J8" i="11" s="1"/>
  <c r="F8" i="19" s="1"/>
  <c r="AO35" i="18"/>
  <c r="G9" i="11" s="1"/>
  <c r="F20" i="19"/>
  <c r="AD106" i="18"/>
  <c r="AE106" i="18"/>
  <c r="AE101" i="18"/>
  <c r="AD101" i="18"/>
  <c r="AD102" i="18"/>
  <c r="AE102" i="18"/>
  <c r="F9" i="19" l="1"/>
  <c r="F10" i="19"/>
  <c r="F11" i="19"/>
  <c r="F12" i="19"/>
  <c r="F13" i="19"/>
  <c r="AE109" i="18"/>
  <c r="AD109" i="18"/>
  <c r="AE105" i="18"/>
  <c r="AD105" i="18"/>
  <c r="AE104" i="18"/>
  <c r="AD104" i="18"/>
  <c r="K29" i="13" l="1"/>
  <c r="AE107" i="18"/>
  <c r="AD107" i="18"/>
  <c r="AD108" i="18"/>
  <c r="AE108" i="18"/>
  <c r="K28" i="13" l="1"/>
  <c r="K27" i="13"/>
  <c r="AE110" i="18"/>
  <c r="AD110" i="18"/>
  <c r="AE111" i="18"/>
  <c r="AD111" i="18"/>
  <c r="K30" i="13" l="1"/>
  <c r="K31" i="13"/>
  <c r="AD114" i="18"/>
  <c r="AE114" i="18"/>
  <c r="AE115" i="18"/>
  <c r="AD115" i="18"/>
  <c r="AE113" i="18"/>
  <c r="AD113" i="18"/>
  <c r="AE118" i="18" l="1"/>
  <c r="AD118" i="18"/>
  <c r="AE116" i="18"/>
  <c r="AD116" i="18"/>
  <c r="AE117" i="18"/>
  <c r="AD117" i="18"/>
  <c r="AD124" i="18" l="1"/>
  <c r="AE124" i="18"/>
  <c r="AD119" i="18"/>
  <c r="AE119" i="18"/>
  <c r="AD120" i="18"/>
  <c r="AE120" i="18"/>
  <c r="AE122" i="18" l="1"/>
  <c r="AD122" i="18"/>
  <c r="AD127" i="18"/>
  <c r="AE127" i="18"/>
  <c r="AE123" i="18"/>
  <c r="AD123" i="18"/>
  <c r="L29" i="13" l="1"/>
  <c r="AD125" i="18"/>
  <c r="AE125" i="18"/>
  <c r="AD126" i="18"/>
  <c r="AE126" i="18"/>
  <c r="L28" i="13" l="1"/>
  <c r="L27" i="13"/>
  <c r="AE129" i="18"/>
  <c r="AD129" i="18"/>
  <c r="AD128" i="18"/>
  <c r="AE128" i="18"/>
  <c r="L31" i="13" l="1"/>
  <c r="L30" i="13"/>
  <c r="AD132" i="18"/>
  <c r="AE132" i="18"/>
  <c r="AE131" i="18"/>
  <c r="AD131" i="18"/>
  <c r="AE133" i="18"/>
  <c r="AD133" i="18"/>
  <c r="AE136" i="18" l="1"/>
  <c r="AD136" i="18"/>
  <c r="AD134" i="18"/>
  <c r="AE134" i="18"/>
  <c r="AE135" i="18"/>
  <c r="AD135" i="18"/>
  <c r="AE138" i="18" l="1"/>
  <c r="AD138" i="18"/>
  <c r="AE142" i="18"/>
  <c r="AD142" i="18"/>
  <c r="AE137" i="18"/>
  <c r="AD137" i="18"/>
  <c r="AE140" i="18" l="1"/>
  <c r="AD140" i="18"/>
  <c r="AE145" i="18"/>
  <c r="AD145" i="18"/>
  <c r="AE141" i="18"/>
  <c r="AD141" i="18"/>
  <c r="M29" i="13" l="1"/>
  <c r="AE144" i="18"/>
  <c r="AD144" i="18"/>
  <c r="AE143" i="18"/>
  <c r="AD143" i="18"/>
  <c r="M27" i="13" l="1"/>
  <c r="M28" i="13"/>
  <c r="AE146" i="18"/>
  <c r="AD146" i="18"/>
  <c r="AD151" i="18"/>
  <c r="AE151" i="18"/>
  <c r="AE147" i="18"/>
  <c r="AD147" i="18"/>
  <c r="M30" i="13" l="1"/>
  <c r="M31" i="13"/>
  <c r="AD150" i="18"/>
  <c r="AE150" i="18"/>
  <c r="AE149" i="18"/>
  <c r="AD149" i="18"/>
  <c r="AD154" i="18" l="1"/>
  <c r="AE154" i="18"/>
  <c r="AE152" i="18"/>
  <c r="AD152" i="18"/>
  <c r="AD153" i="18"/>
  <c r="AE153" i="18"/>
  <c r="AE156" i="18" l="1"/>
  <c r="AD156" i="18"/>
  <c r="AE155" i="18"/>
  <c r="AD155" i="18"/>
  <c r="AE158" i="18" l="1"/>
  <c r="AD158" i="18"/>
  <c r="AE160" i="18"/>
  <c r="AD160" i="18"/>
  <c r="AE159" i="18"/>
  <c r="AD159" i="18"/>
  <c r="AD162" i="18" l="1"/>
  <c r="AE162" i="18"/>
  <c r="AE163" i="18"/>
  <c r="AD163" i="18"/>
  <c r="AE161" i="18"/>
  <c r="AD161" i="18"/>
  <c r="N29" i="13" l="1"/>
  <c r="N27" i="13"/>
  <c r="N28" i="13"/>
  <c r="AD164" i="18"/>
  <c r="AE164" i="18"/>
  <c r="AE169" i="18"/>
  <c r="AD169" i="18"/>
  <c r="AE165" i="18"/>
  <c r="AD165" i="18"/>
  <c r="N30" i="13" l="1"/>
  <c r="N31" i="13"/>
  <c r="AD172" i="18"/>
  <c r="AE172" i="18"/>
  <c r="AE167" i="18"/>
  <c r="AD167" i="18"/>
  <c r="AE168" i="18"/>
  <c r="AD168" i="18"/>
  <c r="AD171" i="18" l="1"/>
  <c r="AE171" i="18"/>
  <c r="AE170" i="18"/>
  <c r="AD170" i="18"/>
  <c r="AE178" i="18" l="1"/>
  <c r="AD178" i="18"/>
  <c r="AD173" i="18"/>
  <c r="AE173" i="18"/>
  <c r="AD174" i="18"/>
  <c r="AE174" i="18"/>
  <c r="AD177" i="18" l="1"/>
  <c r="AE177" i="18"/>
  <c r="AD176" i="18"/>
  <c r="AE176" i="18"/>
  <c r="AD179" i="18" l="1"/>
  <c r="AE179" i="18"/>
  <c r="AD181" i="18"/>
  <c r="AE181" i="18"/>
  <c r="AD180" i="18"/>
  <c r="AE180" i="18"/>
  <c r="O28" i="13" l="1"/>
  <c r="O27" i="13"/>
  <c r="O29" i="13"/>
  <c r="AD187" i="18"/>
  <c r="AE187" i="18"/>
  <c r="AE183" i="18"/>
  <c r="AD183" i="18"/>
  <c r="AD182" i="18"/>
  <c r="AE182" i="18"/>
  <c r="O31" i="13" l="1"/>
  <c r="O30" i="13"/>
  <c r="AD190" i="18"/>
  <c r="AE190" i="18"/>
  <c r="AE186" i="18"/>
  <c r="AD186" i="18"/>
  <c r="AD185" i="18"/>
  <c r="AE185" i="18"/>
  <c r="AE188" i="18" l="1"/>
  <c r="AD188" i="18"/>
  <c r="AD189" i="18"/>
  <c r="AE189" i="18"/>
  <c r="AE192" i="18" l="1"/>
  <c r="AD192" i="18"/>
  <c r="AD196" i="18"/>
  <c r="AE196" i="18"/>
  <c r="AD191" i="18"/>
  <c r="AE191" i="18"/>
  <c r="AE195" i="18" l="1"/>
  <c r="AD195" i="18"/>
  <c r="AE194" i="18"/>
  <c r="AD194" i="18"/>
  <c r="AD199" i="18" l="1"/>
  <c r="AE199" i="18"/>
  <c r="AD197" i="18"/>
  <c r="AE197" i="18"/>
  <c r="AE198" i="18"/>
  <c r="AD198" i="18"/>
  <c r="P28" i="13" l="1"/>
  <c r="P27" i="13"/>
  <c r="P29" i="13"/>
  <c r="AE201" i="18"/>
  <c r="AD201" i="18"/>
  <c r="AD200" i="18"/>
  <c r="AE200" i="18"/>
  <c r="P31" i="13" l="1"/>
  <c r="P30" i="13"/>
  <c r="AD203" i="18"/>
  <c r="AE203" i="18"/>
  <c r="AE204" i="18"/>
  <c r="AD204" i="18"/>
  <c r="AE205" i="18"/>
  <c r="AD205" i="18"/>
  <c r="AE206" i="18" l="1"/>
  <c r="AD206" i="18"/>
  <c r="AD207" i="18"/>
  <c r="AE207" i="18"/>
  <c r="AE208" i="18"/>
  <c r="AD208" i="18"/>
  <c r="AE210" i="18" l="1"/>
  <c r="AD210" i="18"/>
  <c r="AE214" i="18"/>
  <c r="AD214" i="18"/>
  <c r="AE209" i="18"/>
  <c r="AD209" i="18"/>
  <c r="AE217" i="18" l="1"/>
  <c r="AD217" i="18"/>
  <c r="AD212" i="18"/>
  <c r="AE212" i="18"/>
  <c r="AD213" i="18"/>
  <c r="AE213" i="18"/>
  <c r="AE215" i="18" l="1"/>
  <c r="AD215" i="18"/>
  <c r="AD216" i="18"/>
  <c r="AE216" i="18"/>
  <c r="AD218" i="18" l="1"/>
  <c r="AE218" i="18"/>
  <c r="AD219" i="18"/>
  <c r="AE219" i="18"/>
  <c r="AD221" i="18" l="1"/>
  <c r="AE221" i="18"/>
  <c r="AD223" i="18"/>
  <c r="AE223" i="18"/>
  <c r="AD222" i="18"/>
  <c r="AE222" i="18"/>
  <c r="AE224" i="18" l="1"/>
  <c r="AD224" i="18"/>
  <c r="AE225" i="18"/>
  <c r="AD225" i="18"/>
  <c r="AD226" i="18"/>
  <c r="AE226" i="18"/>
  <c r="AE232" i="18" l="1"/>
  <c r="AD232" i="18"/>
  <c r="AE228" i="18"/>
  <c r="AD228" i="18"/>
  <c r="AE227" i="18"/>
  <c r="AD227" i="18"/>
  <c r="AE231" i="18" l="1"/>
  <c r="AD231" i="18"/>
  <c r="AE230" i="18"/>
  <c r="AD230" i="18"/>
  <c r="AD233" i="18" l="1"/>
  <c r="AE233" i="18"/>
  <c r="AD235" i="18"/>
  <c r="AE235" i="18"/>
  <c r="AD234" i="18"/>
  <c r="AE234" i="18"/>
  <c r="R28" i="13" l="1"/>
  <c r="R29" i="13"/>
  <c r="R27" i="13"/>
  <c r="AE237" i="18"/>
  <c r="AD237" i="18"/>
  <c r="AD236" i="18"/>
  <c r="AE236" i="18"/>
  <c r="AE241" i="18"/>
  <c r="AD241" i="18"/>
  <c r="R30" i="13" l="1"/>
  <c r="R31" i="13"/>
  <c r="AD244" i="18"/>
  <c r="AE244" i="18"/>
  <c r="AE240" i="18"/>
  <c r="AD240" i="18"/>
  <c r="AE239" i="18"/>
  <c r="AD239" i="18"/>
  <c r="AE242" i="18" l="1"/>
  <c r="AD242" i="18"/>
  <c r="AE243" i="18"/>
  <c r="AD243" i="18"/>
  <c r="AE246" i="18" l="1"/>
  <c r="AD246" i="18"/>
  <c r="AD245" i="18"/>
  <c r="AE245" i="18"/>
  <c r="AE250" i="18" l="1"/>
  <c r="AD250" i="18"/>
  <c r="AE248" i="18"/>
  <c r="AD248" i="18"/>
  <c r="AE249" i="18"/>
  <c r="AD249" i="18"/>
  <c r="AE251" i="18" l="1"/>
  <c r="AD251" i="18"/>
  <c r="AE253" i="18"/>
  <c r="AD253" i="18"/>
  <c r="AD252" i="18"/>
  <c r="AE252" i="18"/>
  <c r="S29" i="13" l="1"/>
  <c r="S28" i="13"/>
  <c r="S27" i="13"/>
  <c r="AD255" i="18"/>
  <c r="AE255" i="18"/>
  <c r="AD254" i="18"/>
  <c r="AE254" i="18"/>
  <c r="S30" i="13" l="1"/>
  <c r="S31" i="13"/>
  <c r="AE257" i="18"/>
  <c r="AD257" i="18"/>
  <c r="AD259" i="18"/>
  <c r="AE259" i="18"/>
  <c r="AD258" i="18"/>
  <c r="AE258" i="18"/>
  <c r="AE261" i="18" l="1"/>
  <c r="AD261" i="18"/>
  <c r="AE262" i="18"/>
  <c r="AD262" i="18"/>
  <c r="AE260" i="18"/>
  <c r="AD260" i="18"/>
  <c r="AE268" i="18" l="1"/>
  <c r="AD268" i="18"/>
  <c r="AD264" i="18"/>
  <c r="AE264" i="18"/>
  <c r="AE263" i="18"/>
  <c r="AD263" i="18"/>
  <c r="AD267" i="18" l="1"/>
  <c r="AE267" i="18"/>
  <c r="AD266" i="18"/>
  <c r="AE266" i="18"/>
  <c r="AE271" i="18" l="1"/>
  <c r="AD271" i="18"/>
  <c r="AE269" i="18"/>
  <c r="AD269" i="18"/>
  <c r="AE270" i="18"/>
  <c r="AD270" i="18"/>
  <c r="T27" i="13" l="1"/>
  <c r="T28" i="13"/>
  <c r="T29" i="13"/>
  <c r="AD273" i="18"/>
  <c r="AE273" i="18"/>
  <c r="AE272" i="18"/>
  <c r="AD272" i="18"/>
  <c r="T30" i="13" l="1"/>
  <c r="T31" i="13"/>
  <c r="AE275" i="18"/>
  <c r="AD275" i="18"/>
  <c r="AE277" i="18"/>
  <c r="AD277" i="18"/>
  <c r="AE276" i="18"/>
  <c r="AD276" i="18"/>
  <c r="AE280" i="18" l="1"/>
  <c r="AD280" i="18"/>
  <c r="AD279" i="18"/>
  <c r="AE279" i="18"/>
  <c r="AD278" i="18"/>
  <c r="AE278" i="18"/>
  <c r="AD282" i="18" l="1"/>
  <c r="AE282" i="18"/>
  <c r="AD281" i="18"/>
  <c r="AE281" i="18"/>
  <c r="AD284" i="18" l="1"/>
  <c r="AE284" i="18"/>
  <c r="AE285" i="18"/>
  <c r="AD285" i="18"/>
  <c r="AD286" i="18"/>
  <c r="AE286" i="18"/>
  <c r="AD288" i="18" l="1"/>
  <c r="AE288" i="18"/>
  <c r="AD289" i="18"/>
  <c r="AE289" i="18"/>
  <c r="AE287" i="18"/>
  <c r="AD287" i="18"/>
  <c r="U29" i="13" l="1"/>
  <c r="U27" i="13"/>
  <c r="U28" i="13"/>
  <c r="AD295" i="18"/>
  <c r="AE295" i="18"/>
  <c r="AD290" i="18"/>
  <c r="AE290" i="18"/>
  <c r="AE291" i="18"/>
  <c r="AD291" i="18"/>
  <c r="U30" i="13" l="1"/>
  <c r="U31" i="13"/>
  <c r="AD298" i="18"/>
  <c r="AE298" i="18"/>
  <c r="AE293" i="18"/>
  <c r="AD293" i="18"/>
  <c r="AE294" i="18"/>
  <c r="AD294" i="18"/>
  <c r="AE296" i="18" l="1"/>
  <c r="AD296" i="18"/>
  <c r="AE297" i="18"/>
  <c r="AD297" i="18"/>
  <c r="AE300" i="18" l="1"/>
  <c r="AD300" i="18"/>
  <c r="AE299" i="18"/>
  <c r="AD299" i="18"/>
  <c r="AE302" i="18" l="1"/>
  <c r="AD302" i="18"/>
  <c r="AE304" i="18"/>
  <c r="AD304" i="18"/>
  <c r="AD303" i="18"/>
  <c r="AE303" i="18"/>
  <c r="AD306" i="18" l="1"/>
  <c r="AE306" i="18"/>
  <c r="AE305" i="18"/>
  <c r="AD305" i="18"/>
  <c r="AE307" i="18"/>
  <c r="AD307" i="18"/>
  <c r="V29" i="13" l="1"/>
  <c r="V27" i="13"/>
  <c r="V28" i="13"/>
  <c r="AE313" i="18"/>
  <c r="AD313" i="18"/>
  <c r="AD308" i="18"/>
  <c r="AE308" i="18"/>
  <c r="AD309" i="18"/>
  <c r="AE309" i="18"/>
  <c r="V31" i="13" l="1"/>
  <c r="V30" i="13"/>
  <c r="AE311" i="18"/>
  <c r="AD311" i="18"/>
  <c r="AD316" i="18"/>
  <c r="AE316" i="18"/>
  <c r="AE312" i="18"/>
  <c r="AD312" i="18"/>
  <c r="AE314" i="18" l="1"/>
  <c r="AD314" i="18"/>
  <c r="AE315" i="18"/>
  <c r="AD315" i="18"/>
  <c r="AE318" i="18" l="1"/>
  <c r="AD318" i="18"/>
  <c r="AD317" i="18"/>
  <c r="AE317" i="18"/>
  <c r="AE320" i="18" l="1"/>
  <c r="AD320" i="18"/>
  <c r="AE322" i="18"/>
  <c r="AD322" i="18"/>
  <c r="AE321" i="18"/>
  <c r="AD321" i="18"/>
  <c r="AE324" i="18" l="1"/>
  <c r="AD324" i="18"/>
  <c r="AD323" i="18"/>
  <c r="AE323" i="18"/>
  <c r="AE325" i="18"/>
  <c r="AD325" i="18"/>
  <c r="W29" i="13" l="1"/>
  <c r="W27" i="13"/>
  <c r="W28" i="13"/>
  <c r="AD331" i="18"/>
  <c r="AE331" i="18"/>
  <c r="AD326" i="18"/>
  <c r="AE326" i="18"/>
  <c r="AE327" i="18"/>
  <c r="AD327" i="18"/>
  <c r="W31" i="13" l="1"/>
  <c r="W30" i="13"/>
  <c r="AE329" i="18"/>
  <c r="AD329" i="18"/>
  <c r="AE334" i="18"/>
  <c r="AD334" i="18"/>
  <c r="AE330" i="18"/>
  <c r="AD330" i="18"/>
  <c r="AE332" i="18" l="1"/>
  <c r="AD332" i="18"/>
  <c r="AE333" i="18"/>
  <c r="AD333" i="18"/>
  <c r="AD336" i="18" l="1"/>
  <c r="AE336" i="18"/>
  <c r="AE335" i="18"/>
  <c r="AD335" i="18"/>
  <c r="AE340" i="18" l="1"/>
  <c r="AD340" i="18"/>
  <c r="AD338" i="18"/>
  <c r="AE338" i="18"/>
  <c r="AE339" i="18"/>
  <c r="AD339" i="18"/>
  <c r="AE342" i="18" l="1"/>
  <c r="AD342" i="18"/>
  <c r="AE341" i="18"/>
  <c r="AD341" i="18"/>
  <c r="AD343" i="18"/>
  <c r="AE343" i="18"/>
  <c r="X29" i="13" l="1"/>
  <c r="X27" i="13"/>
  <c r="X28" i="13"/>
  <c r="AE344" i="18"/>
  <c r="AD344" i="18"/>
  <c r="AD349" i="18"/>
  <c r="AE349" i="18"/>
  <c r="AE345" i="18"/>
  <c r="AD345" i="18"/>
  <c r="X30" i="13" l="1"/>
  <c r="X31" i="13"/>
  <c r="AE352" i="18"/>
  <c r="AD352" i="18"/>
  <c r="AE348" i="18"/>
  <c r="AD348" i="18"/>
  <c r="AD347" i="18"/>
  <c r="AE347" i="18"/>
  <c r="AD351" i="18" l="1"/>
  <c r="AE351" i="18"/>
  <c r="AE350" i="18"/>
  <c r="AD350" i="18"/>
  <c r="AE353" i="18" l="1"/>
  <c r="AD353" i="18"/>
  <c r="AE354" i="18"/>
  <c r="AD354" i="18"/>
</calcChain>
</file>

<file path=xl/sharedStrings.xml><?xml version="1.0" encoding="utf-8"?>
<sst xmlns="http://schemas.openxmlformats.org/spreadsheetml/2006/main" count="1245" uniqueCount="132">
  <si>
    <t>Substrate Conc. (mg/ml)</t>
  </si>
  <si>
    <t>OD</t>
  </si>
  <si>
    <t>Avg</t>
  </si>
  <si>
    <t>Std Dev</t>
  </si>
  <si>
    <t>Description</t>
  </si>
  <si>
    <t>Variable</t>
  </si>
  <si>
    <t>Value</t>
  </si>
  <si>
    <t>Plastic Type (manual input):</t>
  </si>
  <si>
    <t>PCL</t>
  </si>
  <si>
    <t>-</t>
  </si>
  <si>
    <t>Gradient of std curve</t>
  </si>
  <si>
    <t>m</t>
  </si>
  <si>
    <t>Y-axis Intercept</t>
  </si>
  <si>
    <t>c</t>
  </si>
  <si>
    <t>Fit of Line (must be &gt;= 0,98</t>
  </si>
  <si>
    <t>R^2</t>
  </si>
  <si>
    <t>A</t>
  </si>
  <si>
    <t>B</t>
  </si>
  <si>
    <t>C</t>
  </si>
  <si>
    <t>D</t>
  </si>
  <si>
    <t>E</t>
  </si>
  <si>
    <t>F</t>
  </si>
  <si>
    <t>G</t>
  </si>
  <si>
    <t>H</t>
  </si>
  <si>
    <t>Average SC (mg/ml)</t>
  </si>
  <si>
    <t>Diluton Factor</t>
  </si>
  <si>
    <t>Date</t>
  </si>
  <si>
    <t>AssayID</t>
  </si>
  <si>
    <t>CultNo</t>
  </si>
  <si>
    <t>Supernatant Treatment</t>
  </si>
  <si>
    <t>PlasticType</t>
  </si>
  <si>
    <t>Yeast</t>
  </si>
  <si>
    <t>D8T3</t>
  </si>
  <si>
    <t>Media</t>
  </si>
  <si>
    <t>Time (min)</t>
  </si>
  <si>
    <t>Dilution factor</t>
  </si>
  <si>
    <t>Activity (mg/ml/min)</t>
  </si>
  <si>
    <t>No</t>
  </si>
  <si>
    <t>Sample ID</t>
  </si>
  <si>
    <t>Assay ID</t>
  </si>
  <si>
    <t>Standard Curve Intergration</t>
  </si>
  <si>
    <t>Gradient</t>
  </si>
  <si>
    <t>y-asymptote</t>
  </si>
  <si>
    <t xml:space="preserve">Activity (mg/ml/min) </t>
  </si>
  <si>
    <r>
      <t xml:space="preserve">Substrate concentration </t>
    </r>
    <r>
      <rPr>
        <b/>
        <sz val="11"/>
        <color theme="1"/>
        <rFont val="Aptos Narrow"/>
        <family val="2"/>
        <scheme val="minor"/>
      </rPr>
      <t xml:space="preserve">(mg/ml) </t>
    </r>
    <r>
      <rPr>
        <sz val="11"/>
        <color theme="1"/>
        <rFont val="Aptos Narrow"/>
        <family val="2"/>
        <scheme val="minor"/>
      </rPr>
      <t xml:space="preserve">
 y = (OD - c)/m</t>
    </r>
  </si>
  <si>
    <t>Δ SC/min x Dilution Correction Factor</t>
  </si>
  <si>
    <t xml:space="preserve">Change in Substrate Concentration </t>
  </si>
  <si>
    <t>Change in Substrate Concentration (SC) per minute</t>
  </si>
  <si>
    <r>
      <t xml:space="preserve"> Δ SC </t>
    </r>
    <r>
      <rPr>
        <b/>
        <sz val="11"/>
        <color theme="1"/>
        <rFont val="Aptos Narrow"/>
        <family val="2"/>
        <scheme val="minor"/>
      </rPr>
      <t>(mg/mlmin)</t>
    </r>
    <r>
      <rPr>
        <sz val="11"/>
        <color theme="1"/>
        <rFont val="Aptos Narrow"/>
        <family val="2"/>
        <scheme val="minor"/>
      </rPr>
      <t xml:space="preserve"> 
= (SC</t>
    </r>
    <r>
      <rPr>
        <sz val="8"/>
        <color theme="1"/>
        <rFont val="Aptos Narrow (Body)"/>
      </rPr>
      <t>T0</t>
    </r>
    <r>
      <rPr>
        <sz val="11"/>
        <color theme="1"/>
        <rFont val="Aptos Narrow"/>
        <family val="2"/>
        <scheme val="minor"/>
      </rPr>
      <t xml:space="preserve"> - SC</t>
    </r>
    <r>
      <rPr>
        <sz val="8"/>
        <color theme="1"/>
        <rFont val="Aptos Narrow (Body)"/>
      </rPr>
      <t>Tx</t>
    </r>
    <r>
      <rPr>
        <sz val="11"/>
        <color theme="1"/>
        <rFont val="Aptos Narrow (Body)"/>
      </rPr>
      <t>)/Tx</t>
    </r>
  </si>
  <si>
    <t>Average Δ SC (mg/ml/min)</t>
  </si>
  <si>
    <t>Substrate Degradation (mg/ml)</t>
  </si>
  <si>
    <t>Sample Description</t>
  </si>
  <si>
    <t>Complete this first</t>
  </si>
  <si>
    <r>
      <t xml:space="preserve">Do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adjust dilution factor. 
It willl autopopulate from </t>
    </r>
    <r>
      <rPr>
        <b/>
        <sz val="11"/>
        <color theme="1"/>
        <rFont val="Aptos Narrow"/>
        <family val="2"/>
        <scheme val="minor"/>
      </rPr>
      <t>Sample ID sheet</t>
    </r>
  </si>
  <si>
    <r>
      <t xml:space="preserve">OD Readings (Raw Data) 
</t>
    </r>
    <r>
      <rPr>
        <sz val="12"/>
        <color theme="0"/>
        <rFont val="Aptos Narrow"/>
        <family val="2"/>
        <scheme val="minor"/>
      </rPr>
      <t>Do not edit</t>
    </r>
  </si>
  <si>
    <t>Standard Curve Calibration</t>
  </si>
  <si>
    <t>This data is generated by taking a substrate with known concentration of plastic and measuring the optical density in triplicate per concentration. This generates a standard curve which can be used to determine the weight of plastic broken down in future readings</t>
  </si>
  <si>
    <t>Do not modify the slope or intercept values. These are calculated from the standard curve data and automatically integrated into the results sheet to compute the concentration of the substrate.</t>
  </si>
  <si>
    <t>Slope &amp; y-intercept</t>
  </si>
  <si>
    <t>Notes</t>
  </si>
  <si>
    <t>Reslts</t>
  </si>
  <si>
    <t>Correct for supernatant dilution factor</t>
  </si>
  <si>
    <t>User: USER</t>
  </si>
  <si>
    <t>Path: C:\Program Files (x86)\BMG\SPECTROstar Nano\User\Data</t>
  </si>
  <si>
    <t>Test Name: Polyesterase assay_Kinetic</t>
  </si>
  <si>
    <t>Absorbance</t>
  </si>
  <si>
    <t>Absorbance values are displayed as OD</t>
  </si>
  <si>
    <t>Cycle 1 (0 min)</t>
  </si>
  <si>
    <t>Raw Data (595)</t>
  </si>
  <si>
    <t>Cycle 2 (5 min)</t>
  </si>
  <si>
    <t>Cycle 3 (10 min)</t>
  </si>
  <si>
    <t>Cycle 4 (15 min)</t>
  </si>
  <si>
    <t>Cycle 5 (20 min)</t>
  </si>
  <si>
    <t>Cycle 6 (25 min)</t>
  </si>
  <si>
    <t>Cycle 7 (30 min)</t>
  </si>
  <si>
    <t>Cycle 8 (35 min)</t>
  </si>
  <si>
    <t>Cycle 9 (40 min)</t>
  </si>
  <si>
    <t>Cycle 10 (45 min)</t>
  </si>
  <si>
    <t>Cycle 11 (50 min)</t>
  </si>
  <si>
    <t>Cycle 12 (55 min)</t>
  </si>
  <si>
    <t>Cycle 13 (60 min)</t>
  </si>
  <si>
    <t>Cycle 14 (65 min)</t>
  </si>
  <si>
    <t>Cycle 15 (70 min)</t>
  </si>
  <si>
    <t>Cycle 16 (75 min)</t>
  </si>
  <si>
    <t>Cycle 17 (80 min)</t>
  </si>
  <si>
    <t>Cycle 18 (85 min)</t>
  </si>
  <si>
    <t>Cycle 19 (90 min)</t>
  </si>
  <si>
    <t>Cycle 20 (95 min)</t>
  </si>
  <si>
    <t>A 1-6</t>
  </si>
  <si>
    <t>B 1-6</t>
  </si>
  <si>
    <t>C1-6</t>
  </si>
  <si>
    <t>D 1-6</t>
  </si>
  <si>
    <t>E 1-6</t>
  </si>
  <si>
    <t>F 1-6</t>
  </si>
  <si>
    <t>G 1-6</t>
  </si>
  <si>
    <t>H 1-6</t>
  </si>
  <si>
    <t>A 7-12</t>
  </si>
  <si>
    <t>B 7-12</t>
  </si>
  <si>
    <t>C7-12</t>
  </si>
  <si>
    <t>D 7-12</t>
  </si>
  <si>
    <t>E 7-12</t>
  </si>
  <si>
    <t>F 7-12</t>
  </si>
  <si>
    <t>G 7-12</t>
  </si>
  <si>
    <t>H 7-12</t>
  </si>
  <si>
    <t>Graph Label</t>
  </si>
  <si>
    <t>Labelling Convention</t>
  </si>
  <si>
    <t>y = biological replicate number (1–3)</t>
  </si>
  <si>
    <t>z = technical replicate number (1–2)</t>
  </si>
  <si>
    <r>
      <t xml:space="preserve">Each well on the 96-well plate is labeled according to this structure:
</t>
    </r>
    <r>
      <rPr>
        <b/>
        <sz val="16"/>
        <color theme="1"/>
        <rFont val="Aptos Narrow (Body)"/>
      </rPr>
      <t>Sx_By_Tz</t>
    </r>
  </si>
  <si>
    <t>x = sample number (e.g., S1 = YPD 48h 60x, S2 = control)</t>
  </si>
  <si>
    <t>Max actv (U/mL)</t>
  </si>
  <si>
    <t>PCL (6.9mg/ml)</t>
  </si>
  <si>
    <t>CSL (different cultivations combined)</t>
  </si>
  <si>
    <t>Concentration worked delivering final activity of ~5U/mL</t>
  </si>
  <si>
    <t xml:space="preserve"> </t>
  </si>
  <si>
    <t>48h</t>
  </si>
  <si>
    <t>NA</t>
  </si>
  <si>
    <t>Checking activity of new cultivation in CSL media compared to a concentrate</t>
  </si>
  <si>
    <t>Cycle 21 (100 min)</t>
  </si>
  <si>
    <t>Cycle 22 (105 min)</t>
  </si>
  <si>
    <t>Cycle 23 (110 min)</t>
  </si>
  <si>
    <t>Cycle 24 (115 min)</t>
  </si>
  <si>
    <t>Cycle 25 (120 min)</t>
  </si>
  <si>
    <t>Cycle 26 (125 min)</t>
  </si>
  <si>
    <t>Cycle 27 (130 min)</t>
  </si>
  <si>
    <t>Test ID: 87</t>
  </si>
  <si>
    <t>Date: 2025/11/25</t>
  </si>
  <si>
    <t>Time: 13:35:44</t>
  </si>
  <si>
    <t>RKU43484.1</t>
  </si>
  <si>
    <t>RKU40548.1</t>
  </si>
  <si>
    <t>RKU46716.1</t>
  </si>
  <si>
    <t>RKU40824.1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</si>
</sst>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"/>
  </numFmts>
  <fonts count="28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0" tint="-0.249977111117893"/>
      <name val="Aptos Narrow (Body)"/>
    </font>
    <font>
      <b/>
      <sz val="12"/>
      <color theme="1"/>
      <name val="Aptos Narrow"/>
      <family val="2"/>
      <scheme val="minor"/>
    </font>
    <font>
      <sz val="8"/>
      <color theme="1"/>
      <name val="Aptos Narrow (Body)"/>
    </font>
    <font>
      <sz val="11"/>
      <color theme="1"/>
      <name val="Aptos Narrow (Body)"/>
    </font>
    <font>
      <sz val="11"/>
      <color theme="2" tint="-0.34998626667073579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</font>
    <font>
      <sz val="10"/>
      <color theme="3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 (Body)"/>
    </font>
    <font>
      <sz val="11"/>
      <name val="Aptos Narrow (Body)"/>
    </font>
    <font>
      <b/>
      <sz val="16"/>
      <color theme="1"/>
      <name val="Aptos Narrow (Body)"/>
    </font>
  </fonts>
  <fills count="8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AE2D5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4.9989318521683403E-2"/>
        <bgColor rgb="FFD9F2D0"/>
      </patternFill>
    </fill>
    <fill>
      <patternFill patternType="solid">
        <fgColor rgb="FFF2F2F2"/>
        <bgColor rgb="FF000000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13"/>
  </cellStyleXfs>
  <cellXfs count="260">
    <xf numFmtId="0" fontId="0" fillId="0" borderId="0" xfId="0"/>
    <xf numFmtId="2" fontId="6" fillId="0" borderId="4" xfId="0" applyNumberFormat="1" applyFont="1" applyBorder="1"/>
    <xf numFmtId="2" fontId="6" fillId="0" borderId="0" xfId="0" applyNumberFormat="1" applyFont="1"/>
    <xf numFmtId="2" fontId="6" fillId="0" borderId="7" xfId="0" applyNumberFormat="1" applyFont="1" applyBorder="1"/>
    <xf numFmtId="2" fontId="6" fillId="0" borderId="8" xfId="0" applyNumberFormat="1" applyFont="1" applyBorder="1"/>
    <xf numFmtId="0" fontId="6" fillId="0" borderId="0" xfId="0" applyFont="1"/>
    <xf numFmtId="0" fontId="8" fillId="0" borderId="4" xfId="0" applyFont="1" applyBorder="1"/>
    <xf numFmtId="164" fontId="6" fillId="0" borderId="11" xfId="0" applyNumberFormat="1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8" xfId="0" applyFont="1" applyBorder="1"/>
    <xf numFmtId="0" fontId="0" fillId="0" borderId="13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5" fillId="0" borderId="18" xfId="0" applyFont="1" applyBorder="1" applyAlignment="1">
      <alignment horizontal="center" vertical="center"/>
    </xf>
    <xf numFmtId="0" fontId="0" fillId="0" borderId="13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9" fillId="0" borderId="13" xfId="0" applyFont="1" applyBorder="1"/>
    <xf numFmtId="0" fontId="0" fillId="0" borderId="18" xfId="0" applyBorder="1"/>
    <xf numFmtId="0" fontId="11" fillId="0" borderId="18" xfId="0" applyFont="1" applyBorder="1" applyAlignment="1">
      <alignment horizontal="center" vertical="center"/>
    </xf>
    <xf numFmtId="0" fontId="10" fillId="0" borderId="13" xfId="0" applyFont="1" applyBorder="1"/>
    <xf numFmtId="0" fontId="10" fillId="0" borderId="19" xfId="0" applyFont="1" applyBorder="1"/>
    <xf numFmtId="0" fontId="11" fillId="0" borderId="20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/>
    <xf numFmtId="0" fontId="11" fillId="0" borderId="13" xfId="0" applyFont="1" applyBorder="1"/>
    <xf numFmtId="0" fontId="0" fillId="0" borderId="15" xfId="0" applyBorder="1"/>
    <xf numFmtId="0" fontId="0" fillId="0" borderId="20" xfId="0" applyBorder="1"/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0" fontId="9" fillId="2" borderId="14" xfId="0" applyFont="1" applyFill="1" applyBorder="1" applyAlignment="1">
      <alignment horizontal="center" vertical="center"/>
    </xf>
    <xf numFmtId="0" fontId="9" fillId="2" borderId="25" xfId="0" applyFont="1" applyFill="1" applyBorder="1"/>
    <xf numFmtId="0" fontId="0" fillId="0" borderId="24" xfId="0" applyBorder="1"/>
    <xf numFmtId="0" fontId="6" fillId="0" borderId="13" xfId="0" applyFont="1" applyBorder="1"/>
    <xf numFmtId="0" fontId="6" fillId="0" borderId="21" xfId="0" applyFont="1" applyBorder="1"/>
    <xf numFmtId="0" fontId="12" fillId="0" borderId="13" xfId="0" applyFont="1" applyBorder="1" applyAlignment="1">
      <alignment horizontal="center"/>
    </xf>
    <xf numFmtId="0" fontId="9" fillId="0" borderId="13" xfId="0" applyFont="1" applyBorder="1" applyAlignment="1">
      <alignment wrapText="1"/>
    </xf>
    <xf numFmtId="0" fontId="5" fillId="0" borderId="13" xfId="0" applyFont="1" applyBorder="1" applyAlignment="1">
      <alignment horizontal="center" wrapText="1"/>
    </xf>
    <xf numFmtId="0" fontId="5" fillId="0" borderId="13" xfId="0" applyFont="1" applyBorder="1"/>
    <xf numFmtId="0" fontId="0" fillId="4" borderId="13" xfId="0" applyFill="1" applyBorder="1"/>
    <xf numFmtId="0" fontId="0" fillId="4" borderId="13" xfId="0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2" borderId="28" xfId="0" applyFont="1" applyFill="1" applyBorder="1"/>
    <xf numFmtId="0" fontId="9" fillId="2" borderId="26" xfId="0" applyFont="1" applyFill="1" applyBorder="1"/>
    <xf numFmtId="0" fontId="9" fillId="2" borderId="28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13" fillId="0" borderId="13" xfId="0" applyFont="1" applyBorder="1"/>
    <xf numFmtId="0" fontId="5" fillId="3" borderId="28" xfId="0" applyFont="1" applyFill="1" applyBorder="1"/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9" fillId="0" borderId="18" xfId="0" applyFont="1" applyBorder="1"/>
    <xf numFmtId="0" fontId="9" fillId="0" borderId="20" xfId="0" applyFont="1" applyBorder="1"/>
    <xf numFmtId="0" fontId="17" fillId="0" borderId="18" xfId="0" applyFont="1" applyBorder="1" applyAlignment="1">
      <alignment horizontal="center" vertical="center"/>
    </xf>
    <xf numFmtId="0" fontId="9" fillId="2" borderId="25" xfId="0" applyFont="1" applyFill="1" applyBorder="1" applyAlignment="1">
      <alignment vertical="center"/>
    </xf>
    <xf numFmtId="0" fontId="9" fillId="2" borderId="28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2" xfId="0" applyFont="1" applyFill="1" applyBorder="1"/>
    <xf numFmtId="0" fontId="5" fillId="6" borderId="10" xfId="0" applyFont="1" applyFill="1" applyBorder="1"/>
    <xf numFmtId="0" fontId="9" fillId="2" borderId="15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0" fillId="2" borderId="14" xfId="0" applyFill="1" applyBorder="1"/>
    <xf numFmtId="0" fontId="0" fillId="0" borderId="27" xfId="0" applyBorder="1"/>
    <xf numFmtId="0" fontId="17" fillId="0" borderId="20" xfId="0" applyFont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0" fillId="0" borderId="23" xfId="0" applyBorder="1"/>
    <xf numFmtId="0" fontId="2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5" fillId="0" borderId="13" xfId="0" applyFont="1" applyBorder="1"/>
    <xf numFmtId="0" fontId="26" fillId="0" borderId="13" xfId="0" applyFont="1" applyBorder="1" applyAlignment="1">
      <alignment horizontal="center"/>
    </xf>
    <xf numFmtId="0" fontId="26" fillId="0" borderId="13" xfId="0" applyFont="1" applyBorder="1"/>
    <xf numFmtId="0" fontId="10" fillId="0" borderId="1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0" fillId="0" borderId="16" xfId="0" applyFont="1" applyBorder="1"/>
    <xf numFmtId="0" fontId="10" fillId="0" borderId="17" xfId="0" applyFont="1" applyBorder="1"/>
    <xf numFmtId="0" fontId="16" fillId="2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6" xfId="0" applyFill="1" applyBorder="1"/>
    <xf numFmtId="0" fontId="9" fillId="4" borderId="18" xfId="0" applyFont="1" applyFill="1" applyBorder="1" applyAlignment="1">
      <alignment horizontal="center" vertical="center"/>
    </xf>
    <xf numFmtId="0" fontId="0" fillId="4" borderId="20" xfId="0" applyFill="1" applyBorder="1"/>
    <xf numFmtId="0" fontId="0" fillId="4" borderId="21" xfId="0" applyFill="1" applyBorder="1"/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6" fillId="0" borderId="16" xfId="0" applyFont="1" applyBorder="1"/>
    <xf numFmtId="0" fontId="17" fillId="0" borderId="16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9" fillId="2" borderId="16" xfId="0" applyFont="1" applyFill="1" applyBorder="1"/>
    <xf numFmtId="0" fontId="9" fillId="2" borderId="17" xfId="0" applyFont="1" applyFill="1" applyBorder="1"/>
    <xf numFmtId="0" fontId="10" fillId="0" borderId="15" xfId="0" applyFont="1" applyBorder="1"/>
    <xf numFmtId="0" fontId="10" fillId="0" borderId="18" xfId="0" applyFont="1" applyBorder="1"/>
    <xf numFmtId="0" fontId="10" fillId="0" borderId="20" xfId="0" applyFont="1" applyBorder="1"/>
    <xf numFmtId="0" fontId="9" fillId="2" borderId="18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6" fillId="0" borderId="25" xfId="0" applyFont="1" applyBorder="1"/>
    <xf numFmtId="0" fontId="5" fillId="4" borderId="23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0" fillId="0" borderId="13" xfId="0" applyBorder="1" applyAlignment="1">
      <alignment horizontal="right"/>
    </xf>
    <xf numFmtId="165" fontId="10" fillId="0" borderId="11" xfId="0" applyNumberFormat="1" applyFont="1" applyBorder="1"/>
    <xf numFmtId="165" fontId="10" fillId="0" borderId="12" xfId="0" applyNumberFormat="1" applyFont="1" applyBorder="1"/>
    <xf numFmtId="0" fontId="5" fillId="2" borderId="13" xfId="0" applyFont="1" applyFill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3" xfId="1" applyAlignment="1">
      <alignment horizontal="right"/>
    </xf>
    <xf numFmtId="0" fontId="4" fillId="0" borderId="13" xfId="1"/>
    <xf numFmtId="0" fontId="2" fillId="0" borderId="2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13" xfId="0" applyFont="1" applyBorder="1" applyAlignment="1">
      <alignment horizontal="right"/>
    </xf>
    <xf numFmtId="0" fontId="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19" fillId="5" borderId="15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7" fillId="0" borderId="13" xfId="0" applyFont="1" applyBorder="1"/>
    <xf numFmtId="0" fontId="0" fillId="2" borderId="27" xfId="0" applyFill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8" fillId="5" borderId="29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31" xfId="0" applyFont="1" applyFill="1" applyBorder="1" applyAlignment="1">
      <alignment horizontal="center"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/>
    </xf>
    <xf numFmtId="0" fontId="18" fillId="5" borderId="36" xfId="0" applyFont="1" applyFill="1" applyBorder="1" applyAlignment="1">
      <alignment horizontal="center" vertical="center"/>
    </xf>
    <xf numFmtId="0" fontId="23" fillId="5" borderId="29" xfId="0" applyFont="1" applyFill="1" applyBorder="1" applyAlignment="1">
      <alignment horizontal="center" vertical="center" wrapText="1"/>
    </xf>
    <xf numFmtId="0" fontId="23" fillId="5" borderId="30" xfId="0" applyFont="1" applyFill="1" applyBorder="1" applyAlignment="1">
      <alignment horizontal="center" vertical="center" wrapText="1"/>
    </xf>
    <xf numFmtId="0" fontId="23" fillId="5" borderId="31" xfId="0" applyFont="1" applyFill="1" applyBorder="1" applyAlignment="1">
      <alignment horizontal="center" vertical="center" wrapText="1"/>
    </xf>
    <xf numFmtId="0" fontId="23" fillId="5" borderId="34" xfId="0" applyFont="1" applyFill="1" applyBorder="1" applyAlignment="1">
      <alignment horizontal="center" vertical="center" wrapText="1"/>
    </xf>
    <xf numFmtId="0" fontId="23" fillId="5" borderId="35" xfId="0" applyFont="1" applyFill="1" applyBorder="1" applyAlignment="1">
      <alignment horizontal="center" vertical="center" wrapText="1"/>
    </xf>
    <xf numFmtId="0" fontId="23" fillId="5" borderId="36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E62C2E6-6AF4-4234-9D05-ECA9E26453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xVal>
            <c:numRef>
              <c:f>'Std Curve'!$B$8:$B$12</c:f>
              <c:numCache>
                <c:formatCode>0.00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1.25</c:v>
                </c:pt>
                <c:pt idx="3">
                  <c:v>1.5</c:v>
                </c:pt>
                <c:pt idx="4">
                  <c:v>2</c:v>
                </c:pt>
              </c:numCache>
            </c:numRef>
          </c:xVal>
          <c:yVal>
            <c:numRef>
              <c:f>'Std Curve'!$F$8:$F$12</c:f>
              <c:numCache>
                <c:formatCode>0.00</c:formatCode>
                <c:ptCount val="5"/>
                <c:pt idx="0">
                  <c:v>0.71333333333333326</c:v>
                </c:pt>
                <c:pt idx="1">
                  <c:v>1.1870000000000001</c:v>
                </c:pt>
                <c:pt idx="2">
                  <c:v>1.4966666666666668</c:v>
                </c:pt>
                <c:pt idx="3">
                  <c:v>1.7626666666666664</c:v>
                </c:pt>
                <c:pt idx="4">
                  <c:v>2.2289999999999996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9E-B84A-8D23-864FAC89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006074"/>
        <c:axId val="528830907"/>
      </c:scatterChart>
      <c:valAx>
        <c:axId val="6260060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Substrate Conc. (mg/ml)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8830907"/>
        <c:crosses val="autoZero"/>
        <c:crossBetween val="midCat"/>
      </c:valAx>
      <c:valAx>
        <c:axId val="528830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Average Optical Density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6006074"/>
        <c:crosses val="autoZero"/>
        <c:crossBetween val="midCat"/>
      </c:valAx>
    </c:plotArea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Substrate</a:t>
            </a:r>
            <a:r>
              <a:rPr lang="en-US" baseline="0"/>
              <a:t> Degradation (mg/ml)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44277858878432E-2"/>
          <c:y val="5.8791116233010747E-2"/>
          <c:w val="0.92715545381550535"/>
          <c:h val="0.76894277957620605"/>
        </c:manualLayout>
      </c:layout>
      <c:lineChart>
        <c:grouping val="standard"/>
        <c:varyColors val="0"/>
        <c:ser>
          <c:idx val="0"/>
          <c:order val="0"/>
          <c:tx>
            <c:strRef>
              <c:f>'Substrate Degradation (mg ml)'!$E$6</c:f>
              <c:strCache>
                <c:ptCount val="1"/>
                <c:pt idx="0">
                  <c:v>484 - DF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'Substrate Degradation (mg ml)'!$F$26:$X$26</c:f>
                <c:numCache>
                  <c:formatCode>General</c:formatCode>
                  <c:ptCount val="19"/>
                  <c:pt idx="0">
                    <c:v>2.1006716895858368E-2</c:v>
                  </c:pt>
                  <c:pt idx="1">
                    <c:v>1.4917990505889737E-2</c:v>
                  </c:pt>
                  <c:pt idx="2">
                    <c:v>1.1526809553152327E-2</c:v>
                  </c:pt>
                  <c:pt idx="3">
                    <c:v>1.5329540590044025E-2</c:v>
                  </c:pt>
                  <c:pt idx="4">
                    <c:v>1.4049756024554924E-2</c:v>
                  </c:pt>
                  <c:pt idx="5">
                    <c:v>6.7810595888147642E-3</c:v>
                  </c:pt>
                  <c:pt idx="6">
                    <c:v>9.6031029746866184E-3</c:v>
                  </c:pt>
                  <c:pt idx="7">
                    <c:v>2.0161287590877252E-3</c:v>
                  </c:pt>
                  <c:pt idx="8">
                    <c:v>8.3279785298157223E-3</c:v>
                  </c:pt>
                  <c:pt idx="9">
                    <c:v>1.084547977615849E-2</c:v>
                  </c:pt>
                  <c:pt idx="10">
                    <c:v>1.4406858862450397E-2</c:v>
                  </c:pt>
                  <c:pt idx="11">
                    <c:v>1.7525540620091193E-2</c:v>
                  </c:pt>
                  <c:pt idx="12">
                    <c:v>2.4713002038934249E-2</c:v>
                  </c:pt>
                  <c:pt idx="13">
                    <c:v>1.9914056036812556E-2</c:v>
                  </c:pt>
                  <c:pt idx="14">
                    <c:v>1.2870104440474803E-2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plus>
            <c:minus>
              <c:numRef>
                <c:f>'Substrate Degradation (mg ml)'!$F$26:$X$26</c:f>
                <c:numCache>
                  <c:formatCode>General</c:formatCode>
                  <c:ptCount val="19"/>
                  <c:pt idx="0">
                    <c:v>2.1006716895858368E-2</c:v>
                  </c:pt>
                  <c:pt idx="1">
                    <c:v>1.4917990505889737E-2</c:v>
                  </c:pt>
                  <c:pt idx="2">
                    <c:v>1.1526809553152327E-2</c:v>
                  </c:pt>
                  <c:pt idx="3">
                    <c:v>1.5329540590044025E-2</c:v>
                  </c:pt>
                  <c:pt idx="4">
                    <c:v>1.4049756024554924E-2</c:v>
                  </c:pt>
                  <c:pt idx="5">
                    <c:v>6.7810595888147642E-3</c:v>
                  </c:pt>
                  <c:pt idx="6">
                    <c:v>9.6031029746866184E-3</c:v>
                  </c:pt>
                  <c:pt idx="7">
                    <c:v>2.0161287590877252E-3</c:v>
                  </c:pt>
                  <c:pt idx="8">
                    <c:v>8.3279785298157223E-3</c:v>
                  </c:pt>
                  <c:pt idx="9">
                    <c:v>1.084547977615849E-2</c:v>
                  </c:pt>
                  <c:pt idx="10">
                    <c:v>1.4406858862450397E-2</c:v>
                  </c:pt>
                  <c:pt idx="11">
                    <c:v>1.7525540620091193E-2</c:v>
                  </c:pt>
                  <c:pt idx="12">
                    <c:v>2.4713002038934249E-2</c:v>
                  </c:pt>
                  <c:pt idx="13">
                    <c:v>1.9914056036812556E-2</c:v>
                  </c:pt>
                  <c:pt idx="14">
                    <c:v>1.2870104440474803E-2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'Substrate Degradation (mg ml)'!$F$5:$T$5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</c:numCache>
            </c:numRef>
          </c:cat>
          <c:val>
            <c:numRef>
              <c:f>'Substrate Degradation (mg ml)'!$F$6:$T$6</c:f>
              <c:numCache>
                <c:formatCode>General</c:formatCode>
                <c:ptCount val="15"/>
                <c:pt idx="0">
                  <c:v>1.7402394586153047</c:v>
                </c:pt>
                <c:pt idx="1">
                  <c:v>1.7242972410203024</c:v>
                </c:pt>
                <c:pt idx="2">
                  <c:v>1.7288521603331606</c:v>
                </c:pt>
                <c:pt idx="3">
                  <c:v>1.7242972410203024</c:v>
                </c:pt>
                <c:pt idx="4">
                  <c:v>1.7093310775637693</c:v>
                </c:pt>
                <c:pt idx="5">
                  <c:v>1.7015226444560128</c:v>
                </c:pt>
                <c:pt idx="6">
                  <c:v>1.6963170223841753</c:v>
                </c:pt>
                <c:pt idx="7">
                  <c:v>1.690460697553358</c:v>
                </c:pt>
                <c:pt idx="8">
                  <c:v>1.6963170223841753</c:v>
                </c:pt>
                <c:pt idx="9">
                  <c:v>1.692412805830297</c:v>
                </c:pt>
                <c:pt idx="10">
                  <c:v>1.6898099947943785</c:v>
                </c:pt>
                <c:pt idx="11">
                  <c:v>1.6816762103071319</c:v>
                </c:pt>
                <c:pt idx="12">
                  <c:v>1.6826522644456017</c:v>
                </c:pt>
                <c:pt idx="13">
                  <c:v>1.6793987506507027</c:v>
                </c:pt>
                <c:pt idx="14">
                  <c:v>1.6780973451327437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604-624B-A0F7-7495146A8C33}"/>
            </c:ext>
          </c:extLst>
        </c:ser>
        <c:ser>
          <c:idx val="1"/>
          <c:order val="1"/>
          <c:tx>
            <c:strRef>
              <c:f>'Substrate Degradation (mg ml)'!$E$7</c:f>
              <c:strCache>
                <c:ptCount val="1"/>
                <c:pt idx="0">
                  <c:v>548 - DF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'Substrate Degradation (mg ml)'!$F$27:$X$27</c:f>
                <c:numCache>
                  <c:formatCode>General</c:formatCode>
                  <c:ptCount val="19"/>
                  <c:pt idx="0">
                    <c:v>3.5282253284034453E-3</c:v>
                  </c:pt>
                  <c:pt idx="1">
                    <c:v>2.0161287590877161E-4</c:v>
                  </c:pt>
                  <c:pt idx="2">
                    <c:v>1.1625565556547062E-3</c:v>
                  </c:pt>
                  <c:pt idx="3">
                    <c:v>4.9499051971529017E-4</c:v>
                  </c:pt>
                  <c:pt idx="4">
                    <c:v>2.5576840196555369E-4</c:v>
                  </c:pt>
                  <c:pt idx="5">
                    <c:v>1.2263632472034189E-4</c:v>
                  </c:pt>
                  <c:pt idx="6">
                    <c:v>3.111602262784871E-4</c:v>
                  </c:pt>
                  <c:pt idx="7">
                    <c:v>2.6436574400019535E-4</c:v>
                  </c:pt>
                  <c:pt idx="8">
                    <c:v>2.0279076057063498E-4</c:v>
                  </c:pt>
                  <c:pt idx="9">
                    <c:v>8.8902921793854812E-5</c:v>
                  </c:pt>
                  <c:pt idx="10">
                    <c:v>1.2096772554525447E-4</c:v>
                  </c:pt>
                  <c:pt idx="11">
                    <c:v>5.0403218977204602E-4</c:v>
                  </c:pt>
                  <c:pt idx="12">
                    <c:v>9.687971297123143E-5</c:v>
                  </c:pt>
                  <c:pt idx="13">
                    <c:v>1.2309635325302595E-4</c:v>
                  </c:pt>
                  <c:pt idx="14">
                    <c:v>1.065570750420668E-4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plus>
            <c:minus>
              <c:numRef>
                <c:f>'Substrate Degradation (mg ml)'!$F$27:$X$27</c:f>
                <c:numCache>
                  <c:formatCode>General</c:formatCode>
                  <c:ptCount val="19"/>
                  <c:pt idx="0">
                    <c:v>3.5282253284034453E-3</c:v>
                  </c:pt>
                  <c:pt idx="1">
                    <c:v>2.0161287590877161E-4</c:v>
                  </c:pt>
                  <c:pt idx="2">
                    <c:v>1.1625565556547062E-3</c:v>
                  </c:pt>
                  <c:pt idx="3">
                    <c:v>4.9499051971529017E-4</c:v>
                  </c:pt>
                  <c:pt idx="4">
                    <c:v>2.5576840196555369E-4</c:v>
                  </c:pt>
                  <c:pt idx="5">
                    <c:v>1.2263632472034189E-4</c:v>
                  </c:pt>
                  <c:pt idx="6">
                    <c:v>3.111602262784871E-4</c:v>
                  </c:pt>
                  <c:pt idx="7">
                    <c:v>2.6436574400019535E-4</c:v>
                  </c:pt>
                  <c:pt idx="8">
                    <c:v>2.0279076057063498E-4</c:v>
                  </c:pt>
                  <c:pt idx="9">
                    <c:v>8.8902921793854812E-5</c:v>
                  </c:pt>
                  <c:pt idx="10">
                    <c:v>1.2096772554525447E-4</c:v>
                  </c:pt>
                  <c:pt idx="11">
                    <c:v>5.0403218977204602E-4</c:v>
                  </c:pt>
                  <c:pt idx="12">
                    <c:v>9.687971297123143E-5</c:v>
                  </c:pt>
                  <c:pt idx="13">
                    <c:v>1.2309635325302595E-4</c:v>
                  </c:pt>
                  <c:pt idx="14">
                    <c:v>1.065570750420668E-4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'Substrate Degradation (mg ml)'!$F$5:$T$5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</c:numCache>
            </c:numRef>
          </c:cat>
          <c:val>
            <c:numRef>
              <c:f>'Substrate Degradation (mg ml)'!$F$7:$T$7</c:f>
              <c:numCache>
                <c:formatCode>General</c:formatCode>
                <c:ptCount val="15"/>
                <c:pt idx="0">
                  <c:v>1.7255986465382616</c:v>
                </c:pt>
                <c:pt idx="1">
                  <c:v>1.7415408641332644</c:v>
                </c:pt>
                <c:pt idx="2">
                  <c:v>1.7561816762103073</c:v>
                </c:pt>
                <c:pt idx="3">
                  <c:v>1.7587844872462266</c:v>
                </c:pt>
                <c:pt idx="4">
                  <c:v>1.7542295679333684</c:v>
                </c:pt>
                <c:pt idx="5">
                  <c:v>1.7500000000000002</c:v>
                </c:pt>
                <c:pt idx="6">
                  <c:v>1.7561816762103077</c:v>
                </c:pt>
                <c:pt idx="7">
                  <c:v>1.7665929203539825</c:v>
                </c:pt>
                <c:pt idx="8">
                  <c:v>1.7711478396668408</c:v>
                </c:pt>
                <c:pt idx="9">
                  <c:v>1.7838365434669445</c:v>
                </c:pt>
                <c:pt idx="10">
                  <c:v>1.7815590838105158</c:v>
                </c:pt>
                <c:pt idx="11">
                  <c:v>1.7763534617386778</c:v>
                </c:pt>
                <c:pt idx="12">
                  <c:v>1.7792816241540867</c:v>
                </c:pt>
                <c:pt idx="13">
                  <c:v>1.7773295158771478</c:v>
                </c:pt>
                <c:pt idx="14">
                  <c:v>1.7773295158771478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604-624B-A0F7-7495146A8C33}"/>
            </c:ext>
          </c:extLst>
        </c:ser>
        <c:ser>
          <c:idx val="2"/>
          <c:order val="2"/>
          <c:tx>
            <c:strRef>
              <c:f>'Substrate Degradation (mg ml)'!$E$8</c:f>
              <c:strCache>
                <c:ptCount val="1"/>
                <c:pt idx="0">
                  <c:v>716 - DF 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'Substrate Degradation (mg ml)'!$F$5:$T$5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</c:numCache>
            </c:numRef>
          </c:cat>
          <c:val>
            <c:numRef>
              <c:f>'Substrate Degradation (mg ml)'!$F$8:$T$8</c:f>
              <c:numCache>
                <c:formatCode>General</c:formatCode>
                <c:ptCount val="15"/>
                <c:pt idx="0">
                  <c:v>1.7617126496616349</c:v>
                </c:pt>
                <c:pt idx="1">
                  <c:v>1.7626887038001045</c:v>
                </c:pt>
                <c:pt idx="2">
                  <c:v>1.774726704841229</c:v>
                </c:pt>
                <c:pt idx="3">
                  <c:v>1.7779802186361273</c:v>
                </c:pt>
                <c:pt idx="4">
                  <c:v>1.7763534617386785</c:v>
                </c:pt>
                <c:pt idx="5">
                  <c:v>1.774726704841229</c:v>
                </c:pt>
                <c:pt idx="6">
                  <c:v>1.7734252993232695</c:v>
                </c:pt>
                <c:pt idx="7">
                  <c:v>1.7662675689744927</c:v>
                </c:pt>
                <c:pt idx="8">
                  <c:v>1.7597605413846955</c:v>
                </c:pt>
                <c:pt idx="9">
                  <c:v>1.7591098386257162</c:v>
                </c:pt>
                <c:pt idx="10">
                  <c:v>1.7535788651743889</c:v>
                </c:pt>
                <c:pt idx="11">
                  <c:v>1.7500000000000007</c:v>
                </c:pt>
                <c:pt idx="12">
                  <c:v>1.7581337844872467</c:v>
                </c:pt>
                <c:pt idx="13">
                  <c:v>1.7584591358667365</c:v>
                </c:pt>
                <c:pt idx="14">
                  <c:v>1.7688703800104115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7-48F7-A4B5-CBDE57F6AF81}"/>
            </c:ext>
          </c:extLst>
        </c:ser>
        <c:ser>
          <c:idx val="3"/>
          <c:order val="3"/>
          <c:tx>
            <c:strRef>
              <c:f>'Substrate Degradation (mg ml)'!$E$9</c:f>
              <c:strCache>
                <c:ptCount val="1"/>
                <c:pt idx="0">
                  <c:v>824 - DF 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'Substrate Degradation (mg ml)'!$F$5:$T$5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</c:numCache>
            </c:numRef>
          </c:cat>
          <c:val>
            <c:numRef>
              <c:f>'Substrate Degradation (mg ml)'!$F$9:$T$9</c:f>
              <c:numCache>
                <c:formatCode>General</c:formatCode>
                <c:ptCount val="15"/>
                <c:pt idx="0">
                  <c:v>1.809213951067153</c:v>
                </c:pt>
                <c:pt idx="1">
                  <c:v>1.9100728787090062</c:v>
                </c:pt>
                <c:pt idx="2">
                  <c:v>1.9611530452889125</c:v>
                </c:pt>
                <c:pt idx="3">
                  <c:v>1.9943388859968774</c:v>
                </c:pt>
                <c:pt idx="4">
                  <c:v>1.9969416970327958</c:v>
                </c:pt>
                <c:pt idx="5">
                  <c:v>1.9962909942738161</c:v>
                </c:pt>
                <c:pt idx="6">
                  <c:v>1.9992191566892246</c:v>
                </c:pt>
                <c:pt idx="7">
                  <c:v>2.0164627798021866</c:v>
                </c:pt>
                <c:pt idx="8">
                  <c:v>2.0164627798021866</c:v>
                </c:pt>
                <c:pt idx="9">
                  <c:v>2.021017699115045</c:v>
                </c:pt>
                <c:pt idx="10">
                  <c:v>2.0229698073919837</c:v>
                </c:pt>
                <c:pt idx="11">
                  <c:v>2.0216684018740243</c:v>
                </c:pt>
                <c:pt idx="12">
                  <c:v>2.0232951587714734</c:v>
                </c:pt>
                <c:pt idx="13">
                  <c:v>2.0210176991150441</c:v>
                </c:pt>
                <c:pt idx="14">
                  <c:v>2.0249219156689229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7-48F7-A4B5-CBDE57F6AF81}"/>
            </c:ext>
          </c:extLst>
        </c:ser>
        <c:ser>
          <c:idx val="4"/>
          <c:order val="4"/>
          <c:tx>
            <c:strRef>
              <c:f>'Substrate Degradation (mg ml)'!$E$10</c:f>
              <c:strCache>
                <c:ptCount val="1"/>
                <c:pt idx="0">
                  <c:v>437 - DF 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'Substrate Degradation (mg ml)'!$F$5:$T$5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</c:numCache>
            </c:numRef>
          </c:cat>
          <c:val>
            <c:numRef>
              <c:f>'Substrate Degradation (mg ml)'!$F$10:$T$10</c:f>
              <c:numCache>
                <c:formatCode>General</c:formatCode>
                <c:ptCount val="15"/>
                <c:pt idx="0">
                  <c:v>1.8401223321186888</c:v>
                </c:pt>
                <c:pt idx="1">
                  <c:v>1.8977095262883921</c:v>
                </c:pt>
                <c:pt idx="2">
                  <c:v>1.9221108797501305</c:v>
                </c:pt>
                <c:pt idx="3">
                  <c:v>1.9396798542425826</c:v>
                </c:pt>
                <c:pt idx="4">
                  <c:v>1.9341488807912548</c:v>
                </c:pt>
                <c:pt idx="5">
                  <c:v>1.9374023945861534</c:v>
                </c:pt>
                <c:pt idx="6">
                  <c:v>1.9338235294117652</c:v>
                </c:pt>
                <c:pt idx="7">
                  <c:v>1.9416319625195213</c:v>
                </c:pt>
                <c:pt idx="8">
                  <c:v>1.9400052056220725</c:v>
                </c:pt>
                <c:pt idx="9">
                  <c:v>1.9377277459656435</c:v>
                </c:pt>
                <c:pt idx="10">
                  <c:v>1.9243883394065595</c:v>
                </c:pt>
                <c:pt idx="11">
                  <c:v>1.9286179073399277</c:v>
                </c:pt>
                <c:pt idx="12">
                  <c:v>1.9208094742321713</c:v>
                </c:pt>
                <c:pt idx="13">
                  <c:v>1.9221108797501305</c:v>
                </c:pt>
                <c:pt idx="14">
                  <c:v>1.9276418532014581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DE-443C-BECE-FD7AE7CE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5588624"/>
        <c:axId val="755811104"/>
      </c:lineChart>
      <c:catAx>
        <c:axId val="75558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11104"/>
        <c:crosses val="autoZero"/>
        <c:auto val="1"/>
        <c:lblAlgn val="ctr"/>
        <c:lblOffset val="100"/>
        <c:noMultiLvlLbl val="0"/>
      </c:catAx>
      <c:valAx>
        <c:axId val="75581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Substrate</a:t>
                </a:r>
                <a:r>
                  <a:rPr lang="en-US" baseline="0"/>
                  <a:t> Concentration (mg/ml)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5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2000" b="1"/>
              <a:t>Activity (mg/ml/min)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'Activity (mg ml min)'!$E$6</c:f>
              <c:strCache>
                <c:ptCount val="1"/>
                <c:pt idx="0">
                  <c:v>RKU43484.1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'Activity (mg ml min)'!$F$26:$X$26</c:f>
                <c:numCache>
                  <c:formatCode>General</c:formatCode>
                  <c:ptCount val="19"/>
                  <c:pt idx="0">
                    <c:v>0</c:v>
                  </c:pt>
                  <c:pt idx="1">
                    <c:v>1.3636842162862851E-3</c:v>
                  </c:pt>
                  <c:pt idx="2">
                    <c:v>1.0230736078622291E-3</c:v>
                  </c:pt>
                  <c:pt idx="3">
                    <c:v>3.7867695371846286E-4</c:v>
                  </c:pt>
                  <c:pt idx="4">
                    <c:v>3.8797384658417159E-4</c:v>
                  </c:pt>
                  <c:pt idx="5">
                    <c:v>5.7627435449801644E-4</c:v>
                  </c:pt>
                  <c:pt idx="6">
                    <c:v>3.8164701453970368E-4</c:v>
                  </c:pt>
                  <c:pt idx="7">
                    <c:v>5.5345265688271604E-4</c:v>
                  </c:pt>
                  <c:pt idx="8">
                    <c:v>4.5415370083804916E-4</c:v>
                  </c:pt>
                  <c:pt idx="9">
                    <c:v>3.0817237070457289E-4</c:v>
                  </c:pt>
                  <c:pt idx="10">
                    <c:v>1.4538511237656532E-4</c:v>
                  </c:pt>
                  <c:pt idx="11">
                    <c:v>2.0817109883983697E-4</c:v>
                  </c:pt>
                  <c:pt idx="12">
                    <c:v>1.9321233941256981E-4</c:v>
                  </c:pt>
                  <c:pt idx="13">
                    <c:v>1.485518103675925E-4</c:v>
                  </c:pt>
                  <c:pt idx="14">
                    <c:v>1.9091405223687607E-4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plus>
            <c:minus>
              <c:numRef>
                <c:f>'Activity (mg ml min)'!$F$26:$X$26</c:f>
                <c:numCache>
                  <c:formatCode>General</c:formatCode>
                  <c:ptCount val="19"/>
                  <c:pt idx="0">
                    <c:v>0</c:v>
                  </c:pt>
                  <c:pt idx="1">
                    <c:v>1.3636842162862851E-3</c:v>
                  </c:pt>
                  <c:pt idx="2">
                    <c:v>1.0230736078622291E-3</c:v>
                  </c:pt>
                  <c:pt idx="3">
                    <c:v>3.7867695371846286E-4</c:v>
                  </c:pt>
                  <c:pt idx="4">
                    <c:v>3.8797384658417159E-4</c:v>
                  </c:pt>
                  <c:pt idx="5">
                    <c:v>5.7627435449801644E-4</c:v>
                  </c:pt>
                  <c:pt idx="6">
                    <c:v>3.8164701453970368E-4</c:v>
                  </c:pt>
                  <c:pt idx="7">
                    <c:v>5.5345265688271604E-4</c:v>
                  </c:pt>
                  <c:pt idx="8">
                    <c:v>4.5415370083804916E-4</c:v>
                  </c:pt>
                  <c:pt idx="9">
                    <c:v>3.0817237070457289E-4</c:v>
                  </c:pt>
                  <c:pt idx="10">
                    <c:v>1.4538511237656532E-4</c:v>
                  </c:pt>
                  <c:pt idx="11">
                    <c:v>2.0817109883983697E-4</c:v>
                  </c:pt>
                  <c:pt idx="12">
                    <c:v>1.9321233941256981E-4</c:v>
                  </c:pt>
                  <c:pt idx="13">
                    <c:v>1.485518103675925E-4</c:v>
                  </c:pt>
                  <c:pt idx="14">
                    <c:v>1.9091405223687607E-4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'Activity (mg ml min)'!$F$5:$X$5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'Activity (mg ml min)'!$F$6:$X$6</c:f>
              <c:numCache>
                <c:formatCode>General</c:formatCode>
                <c:ptCount val="19"/>
                <c:pt idx="0">
                  <c:v>0</c:v>
                </c:pt>
                <c:pt idx="1">
                  <c:v>3.1884435190005014E-3</c:v>
                </c:pt>
                <c:pt idx="2">
                  <c:v>1.1387298282144725E-3</c:v>
                </c:pt>
                <c:pt idx="3">
                  <c:v>1.0628145063335103E-3</c:v>
                </c:pt>
                <c:pt idx="4">
                  <c:v>1.545419052576787E-3</c:v>
                </c:pt>
                <c:pt idx="5">
                  <c:v>1.5486725663716842E-3</c:v>
                </c:pt>
                <c:pt idx="6">
                  <c:v>1.4640812077043226E-3</c:v>
                </c:pt>
                <c:pt idx="7">
                  <c:v>1.4222503160556254E-3</c:v>
                </c:pt>
                <c:pt idx="8">
                  <c:v>1.098060905778242E-3</c:v>
                </c:pt>
                <c:pt idx="9">
                  <c:v>1.0628145063335088E-3</c:v>
                </c:pt>
                <c:pt idx="10">
                  <c:v>1.0085892764185337E-3</c:v>
                </c:pt>
                <c:pt idx="11">
                  <c:v>1.0647863328758723E-3</c:v>
                </c:pt>
                <c:pt idx="12">
                  <c:v>9.5978656949505432E-4</c:v>
                </c:pt>
                <c:pt idx="13">
                  <c:v>9.3601089176310621E-4</c:v>
                </c:pt>
                <c:pt idx="14">
                  <c:v>8.8774447832230265E-4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FA-8C44-8A06-AA930DAA2215}"/>
            </c:ext>
          </c:extLst>
        </c:ser>
        <c:ser>
          <c:idx val="1"/>
          <c:order val="1"/>
          <c:tx>
            <c:strRef>
              <c:f>'Activity (mg ml min)'!$E$7</c:f>
              <c:strCache>
                <c:ptCount val="1"/>
                <c:pt idx="0">
                  <c:v>RKU40548.1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'Activity (mg ml min)'!$F$27:$X$27</c:f>
                <c:numCache>
                  <c:formatCode>General</c:formatCode>
                  <c:ptCount val="19"/>
                  <c:pt idx="0">
                    <c:v>0</c:v>
                  </c:pt>
                  <c:pt idx="1">
                    <c:v>2.0161287590877161E-4</c:v>
                  </c:pt>
                  <c:pt idx="2">
                    <c:v>1.1625565556547062E-3</c:v>
                  </c:pt>
                  <c:pt idx="3">
                    <c:v>4.9499051971529017E-4</c:v>
                  </c:pt>
                  <c:pt idx="4">
                    <c:v>2.5576840196555369E-4</c:v>
                  </c:pt>
                  <c:pt idx="5">
                    <c:v>1.2263632472034189E-4</c:v>
                  </c:pt>
                  <c:pt idx="6">
                    <c:v>3.111602262784871E-4</c:v>
                  </c:pt>
                  <c:pt idx="7">
                    <c:v>2.6436574400019535E-4</c:v>
                  </c:pt>
                  <c:pt idx="8">
                    <c:v>2.0279076057063498E-4</c:v>
                  </c:pt>
                  <c:pt idx="9">
                    <c:v>8.8902921793854812E-5</c:v>
                  </c:pt>
                  <c:pt idx="10">
                    <c:v>1.2096772554525447E-4</c:v>
                  </c:pt>
                  <c:pt idx="11">
                    <c:v>5.5743783963793972E-5</c:v>
                  </c:pt>
                  <c:pt idx="12">
                    <c:v>9.687971297123143E-5</c:v>
                  </c:pt>
                  <c:pt idx="13">
                    <c:v>1.2309635325302595E-4</c:v>
                  </c:pt>
                  <c:pt idx="14">
                    <c:v>1.065570750420668E-4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plus>
            <c:minus>
              <c:numRef>
                <c:f>'Activity (mg ml min)'!$F$27:$X$27</c:f>
                <c:numCache>
                  <c:formatCode>General</c:formatCode>
                  <c:ptCount val="19"/>
                  <c:pt idx="0">
                    <c:v>0</c:v>
                  </c:pt>
                  <c:pt idx="1">
                    <c:v>2.0161287590877161E-4</c:v>
                  </c:pt>
                  <c:pt idx="2">
                    <c:v>1.1625565556547062E-3</c:v>
                  </c:pt>
                  <c:pt idx="3">
                    <c:v>4.9499051971529017E-4</c:v>
                  </c:pt>
                  <c:pt idx="4">
                    <c:v>2.5576840196555369E-4</c:v>
                  </c:pt>
                  <c:pt idx="5">
                    <c:v>1.2263632472034189E-4</c:v>
                  </c:pt>
                  <c:pt idx="6">
                    <c:v>3.111602262784871E-4</c:v>
                  </c:pt>
                  <c:pt idx="7">
                    <c:v>2.6436574400019535E-4</c:v>
                  </c:pt>
                  <c:pt idx="8">
                    <c:v>2.0279076057063498E-4</c:v>
                  </c:pt>
                  <c:pt idx="9">
                    <c:v>8.8902921793854812E-5</c:v>
                  </c:pt>
                  <c:pt idx="10">
                    <c:v>1.2096772554525447E-4</c:v>
                  </c:pt>
                  <c:pt idx="11">
                    <c:v>5.5743783963793972E-5</c:v>
                  </c:pt>
                  <c:pt idx="12">
                    <c:v>9.687971297123143E-5</c:v>
                  </c:pt>
                  <c:pt idx="13">
                    <c:v>1.2309635325302595E-4</c:v>
                  </c:pt>
                  <c:pt idx="14">
                    <c:v>1.065570750420668E-4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'Activity (mg ml min)'!$F$5:$X$5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'Activity (mg ml min)'!$F$7:$X$7</c:f>
              <c:numCache>
                <c:formatCode>General</c:formatCode>
                <c:ptCount val="19"/>
                <c:pt idx="0">
                  <c:v>0</c:v>
                </c:pt>
                <c:pt idx="1">
                  <c:v>-3.1884435190005314E-3</c:v>
                </c:pt>
                <c:pt idx="2">
                  <c:v>-3.0583029672045809E-3</c:v>
                </c:pt>
                <c:pt idx="3">
                  <c:v>-2.2123893805309782E-3</c:v>
                </c:pt>
                <c:pt idx="4">
                  <c:v>-1.4315460697553407E-3</c:v>
                </c:pt>
                <c:pt idx="5">
                  <c:v>-9.7605413846954656E-4</c:v>
                </c:pt>
                <c:pt idx="6">
                  <c:v>-1.0194343224015296E-3</c:v>
                </c:pt>
                <c:pt idx="7">
                  <c:v>-1.171264966163458E-3</c:v>
                </c:pt>
                <c:pt idx="8">
                  <c:v>-1.1387298282144723E-3</c:v>
                </c:pt>
                <c:pt idx="9">
                  <c:v>-1.2941754873040643E-3</c:v>
                </c:pt>
                <c:pt idx="10">
                  <c:v>-1.1192087454450809E-3</c:v>
                </c:pt>
                <c:pt idx="11">
                  <c:v>-9.2281482182575121E-4</c:v>
                </c:pt>
                <c:pt idx="12">
                  <c:v>-8.9471629359708527E-4</c:v>
                </c:pt>
                <c:pt idx="13">
                  <c:v>-7.9585952829055345E-4</c:v>
                </c:pt>
                <c:pt idx="14">
                  <c:v>-7.3901241912694251E-4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FA-8C44-8A06-AA930DAA2215}"/>
            </c:ext>
          </c:extLst>
        </c:ser>
        <c:ser>
          <c:idx val="2"/>
          <c:order val="2"/>
          <c:tx>
            <c:strRef>
              <c:f>'Activity (mg ml min)'!$E$8</c:f>
              <c:strCache>
                <c:ptCount val="1"/>
                <c:pt idx="0">
                  <c:v>RKU46716.1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'Activity (mg ml min)'!$F$5:$X$5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'Activity (mg ml min)'!$F$8:$X$8</c:f>
              <c:numCache>
                <c:formatCode>General</c:formatCode>
                <c:ptCount val="19"/>
                <c:pt idx="0">
                  <c:v>0</c:v>
                </c:pt>
                <c:pt idx="1">
                  <c:v>-1.9521082769391465E-4</c:v>
                </c:pt>
                <c:pt idx="2">
                  <c:v>-1.3014055179593864E-3</c:v>
                </c:pt>
                <c:pt idx="3">
                  <c:v>-1.0845045982994814E-3</c:v>
                </c:pt>
                <c:pt idx="4">
                  <c:v>-7.3204060385215761E-4</c:v>
                </c:pt>
                <c:pt idx="5">
                  <c:v>-5.2056220718375455E-4</c:v>
                </c:pt>
                <c:pt idx="6">
                  <c:v>-3.9042165538781445E-4</c:v>
                </c:pt>
                <c:pt idx="7">
                  <c:v>-1.3014055179593883E-4</c:v>
                </c:pt>
                <c:pt idx="8">
                  <c:v>4.8802706923480519E-5</c:v>
                </c:pt>
                <c:pt idx="9">
                  <c:v>5.7840245242641362E-5</c:v>
                </c:pt>
                <c:pt idx="10">
                  <c:v>1.626756897449259E-4</c:v>
                </c:pt>
                <c:pt idx="11">
                  <c:v>2.1295726657517559E-4</c:v>
                </c:pt>
                <c:pt idx="12">
                  <c:v>5.9647752906471435E-5</c:v>
                </c:pt>
                <c:pt idx="13">
                  <c:v>5.0054058383055035E-5</c:v>
                </c:pt>
                <c:pt idx="14">
                  <c:v>-1.022532906968082E-4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9-493C-B259-DC1A31366870}"/>
            </c:ext>
          </c:extLst>
        </c:ser>
        <c:ser>
          <c:idx val="3"/>
          <c:order val="3"/>
          <c:tx>
            <c:strRef>
              <c:f>'Activity (mg ml min)'!$E$9</c:f>
              <c:strCache>
                <c:ptCount val="1"/>
                <c:pt idx="0">
                  <c:v>RKU40824.1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'Activity (mg ml min)'!$F$5:$X$5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'Activity (mg ml min)'!$F$9:$X$9</c:f>
              <c:numCache>
                <c:formatCode>General</c:formatCode>
                <c:ptCount val="19"/>
                <c:pt idx="0">
                  <c:v>0</c:v>
                </c:pt>
                <c:pt idx="1">
                  <c:v>-2.0171785528370598E-2</c:v>
                </c:pt>
                <c:pt idx="2">
                  <c:v>-1.5193909422175958E-2</c:v>
                </c:pt>
                <c:pt idx="3">
                  <c:v>-1.234166232864828E-2</c:v>
                </c:pt>
                <c:pt idx="4">
                  <c:v>-9.3863872982821468E-3</c:v>
                </c:pt>
                <c:pt idx="5">
                  <c:v>-7.4830817282665225E-3</c:v>
                </c:pt>
                <c:pt idx="6">
                  <c:v>-6.3335068540690638E-3</c:v>
                </c:pt>
                <c:pt idx="7">
                  <c:v>-5.9213951067152498E-3</c:v>
                </c:pt>
                <c:pt idx="8">
                  <c:v>-5.1812207183758426E-3</c:v>
                </c:pt>
                <c:pt idx="9">
                  <c:v>-4.7067499566198134E-3</c:v>
                </c:pt>
                <c:pt idx="10">
                  <c:v>-4.275117126496618E-3</c:v>
                </c:pt>
                <c:pt idx="11">
                  <c:v>-3.8628081964885669E-3</c:v>
                </c:pt>
                <c:pt idx="12">
                  <c:v>-3.5680201284053448E-3</c:v>
                </c:pt>
                <c:pt idx="13">
                  <c:v>-3.2585192007367962E-3</c:v>
                </c:pt>
                <c:pt idx="14">
                  <c:v>-3.0815423514538552E-3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59-493C-B259-DC1A31366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583040"/>
        <c:axId val="102258544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'Activity (mg ml min)'!$E$10</c15:sqref>
                        </c15:formulaRef>
                      </c:ext>
                    </c:extLst>
                    <c:strCache>
                      <c:ptCount val="1"/>
                      <c:pt idx="0">
                        <c:v>437 - DF 1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'Activity (mg ml min)'!$F$5:$X$5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'Activity (mg ml min)'!$F$10:$X$10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-1.1517438833940623E-2</c:v>
                      </c:pt>
                      <c:pt idx="2">
                        <c:v>-8.1988547631441696E-3</c:v>
                      </c:pt>
                      <c:pt idx="3">
                        <c:v>-6.6371681415929203E-3</c:v>
                      </c:pt>
                      <c:pt idx="4">
                        <c:v>-4.7013274336283111E-3</c:v>
                      </c:pt>
                      <c:pt idx="5">
                        <c:v>-3.8912024986985858E-3</c:v>
                      </c:pt>
                      <c:pt idx="6">
                        <c:v>-3.1233732431025472E-3</c:v>
                      </c:pt>
                      <c:pt idx="7">
                        <c:v>-2.9002751543095039E-3</c:v>
                      </c:pt>
                      <c:pt idx="8">
                        <c:v>-2.4970718375845915E-3</c:v>
                      </c:pt>
                      <c:pt idx="9">
                        <c:v>-2.1690091965989888E-3</c:v>
                      </c:pt>
                      <c:pt idx="10">
                        <c:v>-1.6853201457574139E-3</c:v>
                      </c:pt>
                      <c:pt idx="11">
                        <c:v>-1.6090104585679791E-3</c:v>
                      </c:pt>
                      <c:pt idx="12">
                        <c:v>-1.3447857018913749E-3</c:v>
                      </c:pt>
                      <c:pt idx="13">
                        <c:v>-1.2613622712529526E-3</c:v>
                      </c:pt>
                      <c:pt idx="14">
                        <c:v>-1.2502788726109898E-3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2F59-493C-B259-DC1A31366870}"/>
                  </c:ext>
                </c:extLst>
              </c15:ser>
            </c15:filteredScatterSeries>
          </c:ext>
        </c:extLst>
      </c:scatterChart>
      <c:valAx>
        <c:axId val="102258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Time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85440"/>
        <c:crosses val="autoZero"/>
        <c:crossBetween val="midCat"/>
      </c:valAx>
      <c:valAx>
        <c:axId val="1022585440"/>
        <c:scaling>
          <c:orientation val="minMax"/>
          <c:max val="2.0000000000000004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Activity</a:t>
                </a:r>
                <a:r>
                  <a:rPr lang="en-US" sz="2000" b="1" baseline="0"/>
                  <a:t> (mg/ml/min)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83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3868-4A86-96D0-4080D3F45C0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68-4A86-96D0-4080D3F45C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1-4DA9-83A1-ABFB44FEE4BA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'Activity Summary'!$E$6:$E$10</c15:sqref>
                  </c15:fullRef>
                </c:ext>
              </c:extLst>
              <c:f>'Activity Summary'!$E$6:$E$9</c:f>
              <c:strCache>
                <c:ptCount val="4"/>
                <c:pt idx="0">
                  <c:v>RKU43484.1</c:v>
                </c:pt>
                <c:pt idx="1">
                  <c:v>RKU40548.1</c:v>
                </c:pt>
                <c:pt idx="2">
                  <c:v>RKU46716.1</c:v>
                </c:pt>
                <c:pt idx="3">
                  <c:v>RKU40824.1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'Activity Summary'!$F$6:$F$10</c15:sqref>
                  </c15:fullRef>
                </c:ext>
              </c:extLst>
              <c:f>'Activity Summary'!$F$6:$F$9</c:f>
              <c:numCache>
                <c:formatCode>General</c:formatCode>
                <c:ptCount val="4"/>
                <c:pt idx="0">
                  <c:v>1.5486725663716842E-3</c:v>
                </c:pt>
                <c:pt idx="1">
                  <c:v>-7.3901241912694251E-4</c:v>
                </c:pt>
                <c:pt idx="2">
                  <c:v>2.1295726657517559E-4</c:v>
                </c:pt>
                <c:pt idx="3">
                  <c:v>-3.0815423514538552E-3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3-B942-A2E1-25716DD3A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7267952"/>
        <c:axId val="1631496896"/>
      </c:barChart>
      <c:catAx>
        <c:axId val="317267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1496896"/>
        <c:crosses val="autoZero"/>
        <c:auto val="1"/>
        <c:lblAlgn val="ctr"/>
        <c:lblOffset val="100"/>
        <c:noMultiLvlLbl val="0"/>
      </c:catAx>
      <c:valAx>
        <c:axId val="1631496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2000" b="1"/>
                  <a:t>Activity (U/mL)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6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670511</xdr:colOff>
      <xdr:row>1</xdr:row>
      <xdr:rowOff>57089</xdr:rowOff>
    </xdr:from>
    <xdr:to>
      <xdr:col>16</xdr:col>
      <xdr:colOff>756291</xdr:colOff>
      <xdr:row>14</xdr:row>
      <xdr:rowOff>126277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F52A59-635C-6564-BEE0-75C449A82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5511" y="238817"/>
          <a:ext cx="5819579" cy="30958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112389</xdr:colOff>
      <xdr:row>13</xdr:row>
      <xdr:rowOff>11239</xdr:rowOff>
    </xdr:from>
    <xdr:ext cx="5619469" cy="2854690"/>
    <xdr:graphicFrame macro="">
      <xdr:nvGraphicFramePr>
        <xdr:cNvPr id="1750421126" name="Chart 1">
          <a:extLst>
            <a:ext uri="{FF2B5EF4-FFF2-40B4-BE49-F238E27FC236}">
              <a16:creationId xmlns:a16="http://schemas.microsoft.com/office/drawing/2014/main" id="{00000000-0008-0000-0000-0000864E5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123471</xdr:colOff>
      <xdr:row>5</xdr:row>
      <xdr:rowOff>61735</xdr:rowOff>
    </xdr:from>
    <xdr:to>
      <xdr:col>39</xdr:col>
      <xdr:colOff>352934</xdr:colOff>
      <xdr:row>42</xdr:row>
      <xdr:rowOff>52336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535798-3674-BB1F-BCFC-301C5969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639364</xdr:colOff>
      <xdr:row>5</xdr:row>
      <xdr:rowOff>112546</xdr:rowOff>
    </xdr:from>
    <xdr:to>
      <xdr:col>41</xdr:col>
      <xdr:colOff>180798</xdr:colOff>
      <xdr:row>44</xdr:row>
      <xdr:rowOff>166496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5F84F-2A17-CB4F-B475-692098334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745100</xdr:colOff>
      <xdr:row>2</xdr:row>
      <xdr:rowOff>50346</xdr:rowOff>
    </xdr:from>
    <xdr:to>
      <xdr:col>17</xdr:col>
      <xdr:colOff>601568</xdr:colOff>
      <xdr:row>29</xdr:row>
      <xdr:rowOff>112011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381C0-E4CA-A07C-0113-6DECD1BAC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9CDE-F3C0-8B49-A2B4-35650986DD04}">
  <sheetPr>
    <tabColor theme="4" tint="-0.249977111117893"/>
  </sheetPr>
  <dimension ref="D2:W37"/>
  <sheetViews>
    <sheetView zoomScale="76" workbookViewId="0">
      <selection activeCell="F12" sqref="F12"/>
    </sheetView>
  </sheetViews>
  <sheetFormatPr defaultColWidth="10.6328125" defaultRowHeight="14.5"/>
  <cols>
    <col min="5" max="5" width="15.453125" customWidth="1"/>
    <col min="6" max="6" width="14" customWidth="1"/>
    <col min="8" max="8" width="23.36328125" customWidth="1"/>
    <col min="9" max="9" width="29.90625" bestFit="1" customWidth="1"/>
    <col min="12" max="12" width="13.81640625" customWidth="1"/>
    <col min="13" max="13" width="13" customWidth="1"/>
  </cols>
  <sheetData>
    <row r="2" spans="4:23">
      <c r="D2" s="183" t="s">
        <v>52</v>
      </c>
      <c r="E2" s="184"/>
      <c r="F2" s="185"/>
      <c r="H2" s="177" t="s">
        <v>39</v>
      </c>
      <c r="I2" s="178"/>
      <c r="J2" s="15"/>
      <c r="K2" s="15"/>
      <c r="L2" s="15"/>
      <c r="M2" s="15"/>
    </row>
    <row r="3" spans="4:23">
      <c r="D3" s="186"/>
      <c r="E3" s="175"/>
      <c r="F3" s="187"/>
      <c r="H3" s="179"/>
      <c r="I3" s="180"/>
      <c r="J3" s="15"/>
      <c r="K3" s="15"/>
      <c r="L3" s="15"/>
      <c r="M3" s="15"/>
    </row>
    <row r="4" spans="4:23" ht="40" customHeight="1">
      <c r="D4" s="188"/>
      <c r="E4" s="176"/>
      <c r="F4" s="189"/>
      <c r="H4" s="181"/>
      <c r="I4" s="182"/>
      <c r="J4" s="15"/>
      <c r="K4" s="15"/>
      <c r="L4" s="15"/>
      <c r="M4" s="15"/>
    </row>
    <row r="5" spans="4:23" ht="41" customHeight="1">
      <c r="D5" s="70" t="s">
        <v>37</v>
      </c>
      <c r="E5" s="52" t="s">
        <v>51</v>
      </c>
      <c r="F5" s="83" t="s">
        <v>25</v>
      </c>
      <c r="H5" s="84" t="s">
        <v>26</v>
      </c>
      <c r="I5" s="160">
        <v>45975</v>
      </c>
      <c r="J5" s="15"/>
      <c r="K5" s="15"/>
      <c r="L5" s="15"/>
      <c r="M5" s="15"/>
      <c r="O5" s="15"/>
      <c r="P5" s="15"/>
      <c r="R5" s="15"/>
      <c r="S5" s="15"/>
      <c r="U5" s="15"/>
      <c r="V5" s="15"/>
      <c r="W5">
        <v>12</v>
      </c>
    </row>
    <row r="6" spans="4:23">
      <c r="D6" s="80" t="s">
        <v>88</v>
      </c>
      <c r="E6" s="166">
        <v>484</v>
      </c>
      <c r="F6" s="73">
        <v>1</v>
      </c>
      <c r="H6" s="84" t="s">
        <v>27</v>
      </c>
      <c r="I6" s="165" t="s">
        <v>115</v>
      </c>
      <c r="J6" s="15"/>
      <c r="L6" s="15"/>
      <c r="M6" s="15"/>
      <c r="N6" s="15"/>
      <c r="O6" s="15"/>
      <c r="P6" s="15"/>
      <c r="Q6" s="15"/>
    </row>
    <row r="7" spans="4:23">
      <c r="D7" s="61" t="s">
        <v>89</v>
      </c>
      <c r="E7" s="166">
        <v>548</v>
      </c>
      <c r="F7" s="74">
        <v>1</v>
      </c>
      <c r="H7" s="84" t="s">
        <v>28</v>
      </c>
      <c r="I7" s="74" t="s">
        <v>9</v>
      </c>
      <c r="J7" s="15"/>
      <c r="K7" s="15"/>
      <c r="L7" s="15"/>
      <c r="M7" s="15"/>
      <c r="N7" s="15"/>
      <c r="O7" s="15"/>
      <c r="P7" s="15"/>
      <c r="Q7" s="15"/>
    </row>
    <row r="8" spans="4:23">
      <c r="D8" s="61" t="s">
        <v>90</v>
      </c>
      <c r="E8" s="166">
        <v>716</v>
      </c>
      <c r="F8" s="74">
        <v>1</v>
      </c>
      <c r="H8" s="84" t="s">
        <v>29</v>
      </c>
      <c r="I8" s="165" t="s">
        <v>116</v>
      </c>
      <c r="J8" s="15"/>
      <c r="K8" s="15"/>
      <c r="L8" s="15"/>
    </row>
    <row r="9" spans="4:23">
      <c r="D9" s="61" t="s">
        <v>91</v>
      </c>
      <c r="E9" s="166">
        <v>824</v>
      </c>
      <c r="F9" s="74">
        <v>1</v>
      </c>
      <c r="H9" s="84" t="s">
        <v>30</v>
      </c>
      <c r="I9" s="161" t="s">
        <v>111</v>
      </c>
      <c r="J9" s="15"/>
      <c r="K9" s="15"/>
      <c r="L9" s="15"/>
    </row>
    <row r="10" spans="4:23">
      <c r="D10" s="61" t="s">
        <v>92</v>
      </c>
      <c r="E10" s="166">
        <v>437</v>
      </c>
      <c r="F10" s="74">
        <v>1</v>
      </c>
      <c r="H10" s="84" t="s">
        <v>31</v>
      </c>
      <c r="I10" s="74" t="s">
        <v>32</v>
      </c>
      <c r="J10" s="15"/>
      <c r="K10" s="15"/>
      <c r="L10" s="15"/>
    </row>
    <row r="11" spans="4:23">
      <c r="D11" s="61" t="s">
        <v>93</v>
      </c>
      <c r="E11" s="166"/>
      <c r="F11" s="74">
        <v>0</v>
      </c>
      <c r="H11" s="85" t="s">
        <v>33</v>
      </c>
      <c r="I11" s="162" t="s">
        <v>112</v>
      </c>
      <c r="J11" s="15"/>
      <c r="K11" s="15"/>
      <c r="L11" s="15"/>
    </row>
    <row r="12" spans="4:23">
      <c r="D12" s="61" t="s">
        <v>94</v>
      </c>
      <c r="E12" s="74"/>
      <c r="F12" s="74">
        <v>0</v>
      </c>
      <c r="K12" s="15"/>
    </row>
    <row r="13" spans="4:23">
      <c r="D13" s="61" t="s">
        <v>95</v>
      </c>
      <c r="E13" s="75"/>
      <c r="F13" s="75">
        <v>0</v>
      </c>
      <c r="H13" s="190" t="s">
        <v>59</v>
      </c>
      <c r="I13" s="190"/>
      <c r="K13" s="15"/>
    </row>
    <row r="14" spans="4:23">
      <c r="D14" s="80" t="s">
        <v>96</v>
      </c>
      <c r="E14" s="81"/>
      <c r="F14" s="73">
        <v>0</v>
      </c>
      <c r="H14" s="190"/>
      <c r="I14" s="190"/>
      <c r="K14" s="15"/>
    </row>
    <row r="15" spans="4:23">
      <c r="D15" s="61" t="s">
        <v>97</v>
      </c>
      <c r="E15" s="82"/>
      <c r="F15" s="74">
        <v>0</v>
      </c>
      <c r="H15" s="191" t="s">
        <v>117</v>
      </c>
      <c r="I15" s="192"/>
    </row>
    <row r="16" spans="4:23">
      <c r="D16" s="61" t="s">
        <v>98</v>
      </c>
      <c r="E16" s="82"/>
      <c r="F16" s="74">
        <v>0</v>
      </c>
      <c r="H16" s="193"/>
      <c r="I16" s="194"/>
    </row>
    <row r="17" spans="4:9">
      <c r="D17" s="61" t="s">
        <v>99</v>
      </c>
      <c r="E17" s="82"/>
      <c r="F17" s="74"/>
      <c r="H17" s="193"/>
      <c r="I17" s="194"/>
    </row>
    <row r="18" spans="4:9">
      <c r="D18" s="61" t="s">
        <v>100</v>
      </c>
      <c r="E18" s="82"/>
      <c r="F18" s="74"/>
      <c r="H18" s="193"/>
      <c r="I18" s="194"/>
    </row>
    <row r="19" spans="4:9">
      <c r="D19" s="61" t="s">
        <v>101</v>
      </c>
      <c r="E19" s="82"/>
      <c r="F19" s="74"/>
      <c r="H19" s="193"/>
      <c r="I19" s="194"/>
    </row>
    <row r="20" spans="4:9">
      <c r="D20" s="61" t="s">
        <v>102</v>
      </c>
      <c r="E20" s="82"/>
      <c r="F20" s="74"/>
      <c r="H20" s="193"/>
      <c r="I20" s="194"/>
    </row>
    <row r="21" spans="4:9">
      <c r="D21" s="61" t="s">
        <v>103</v>
      </c>
      <c r="E21" s="127"/>
      <c r="F21" s="75"/>
      <c r="H21" s="193"/>
      <c r="I21" s="194"/>
    </row>
    <row r="22" spans="4:9">
      <c r="D22" s="126"/>
      <c r="E22" s="126"/>
      <c r="F22" s="126"/>
      <c r="H22" s="195"/>
      <c r="I22" s="196"/>
    </row>
    <row r="23" spans="4:9">
      <c r="D23" s="54"/>
      <c r="E23" s="54"/>
      <c r="F23" s="54"/>
    </row>
    <row r="24" spans="4:9">
      <c r="D24" s="175" t="s">
        <v>105</v>
      </c>
      <c r="E24" s="175"/>
      <c r="F24" s="175"/>
      <c r="H24" s="175" t="s">
        <v>60</v>
      </c>
      <c r="I24" s="175"/>
    </row>
    <row r="25" spans="4:9">
      <c r="D25" s="175"/>
      <c r="E25" s="175"/>
      <c r="F25" s="175"/>
      <c r="H25" s="176"/>
      <c r="I25" s="176"/>
    </row>
    <row r="26" spans="4:9" ht="15" customHeight="1">
      <c r="D26" s="197" t="s">
        <v>108</v>
      </c>
      <c r="E26" s="197"/>
      <c r="F26" s="197"/>
      <c r="H26" s="169" t="s">
        <v>113</v>
      </c>
      <c r="I26" s="170"/>
    </row>
    <row r="27" spans="4:9">
      <c r="D27" s="197"/>
      <c r="E27" s="197"/>
      <c r="F27" s="197"/>
      <c r="H27" s="171"/>
      <c r="I27" s="172"/>
    </row>
    <row r="28" spans="4:9">
      <c r="D28" s="197"/>
      <c r="E28" s="197"/>
      <c r="F28" s="197"/>
      <c r="H28" s="171"/>
      <c r="I28" s="172"/>
    </row>
    <row r="29" spans="4:9">
      <c r="D29" s="197"/>
      <c r="E29" s="197"/>
      <c r="F29" s="197"/>
      <c r="H29" s="171"/>
      <c r="I29" s="172"/>
    </row>
    <row r="30" spans="4:9">
      <c r="D30" s="197"/>
      <c r="E30" s="197"/>
      <c r="F30" s="197"/>
      <c r="H30" s="171"/>
      <c r="I30" s="172"/>
    </row>
    <row r="31" spans="4:9">
      <c r="D31" s="197"/>
      <c r="E31" s="197"/>
      <c r="F31" s="197"/>
      <c r="H31" s="171"/>
      <c r="I31" s="172"/>
    </row>
    <row r="32" spans="4:9" ht="15" customHeight="1">
      <c r="D32" s="197" t="s">
        <v>109</v>
      </c>
      <c r="E32" s="197"/>
      <c r="F32" s="197"/>
      <c r="H32" s="171"/>
      <c r="I32" s="172"/>
    </row>
    <row r="33" spans="4:9">
      <c r="D33" s="197"/>
      <c r="E33" s="197"/>
      <c r="F33" s="197"/>
      <c r="H33" s="171"/>
      <c r="I33" s="172"/>
    </row>
    <row r="34" spans="4:9" ht="15" customHeight="1">
      <c r="D34" s="198" t="s">
        <v>106</v>
      </c>
      <c r="E34" s="198"/>
      <c r="F34" s="198"/>
      <c r="H34" s="171"/>
      <c r="I34" s="172"/>
    </row>
    <row r="35" spans="4:9">
      <c r="D35" s="198"/>
      <c r="E35" s="198"/>
      <c r="F35" s="198"/>
      <c r="H35" s="171"/>
      <c r="I35" s="172"/>
    </row>
    <row r="36" spans="4:9">
      <c r="D36" s="198" t="s">
        <v>107</v>
      </c>
      <c r="E36" s="198"/>
      <c r="F36" s="198"/>
      <c r="H36" s="171"/>
      <c r="I36" s="172"/>
    </row>
    <row r="37" spans="4:9">
      <c r="D37" s="198"/>
      <c r="E37" s="198"/>
      <c r="F37" s="198"/>
      <c r="H37" s="173"/>
      <c r="I37" s="174"/>
    </row>
  </sheetData>
  <mergeCells count="11">
    <mergeCell ref="H26:I37"/>
    <mergeCell ref="H24:I25"/>
    <mergeCell ref="H2:I4"/>
    <mergeCell ref="D2:F4"/>
    <mergeCell ref="H13:I14"/>
    <mergeCell ref="H15:I22"/>
    <mergeCell ref="D24:F25"/>
    <mergeCell ref="D26:F31"/>
    <mergeCell ref="D32:F33"/>
    <mergeCell ref="D34:F35"/>
    <mergeCell ref="D36:F37"/>
  </mergeCells>
  <phoneticPr fontId="2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:M1000"/>
  <sheetViews>
    <sheetView zoomScale="84" workbookViewId="0">
      <selection activeCell="M199" sqref="M199"/>
    </sheetView>
  </sheetViews>
  <sheetFormatPr defaultColWidth="12.6328125" defaultRowHeight="15" customHeight="1"/>
  <cols>
    <col min="1" max="1" width="29.6328125" bestFit="1" customWidth="1"/>
    <col min="2" max="26" width="8.81640625" customWidth="1"/>
  </cols>
  <sheetData>
    <row r="1" spans="1:13" ht="14.5"/>
    <row r="2" spans="1:13" ht="14.5">
      <c r="A2" t="s">
        <v>62</v>
      </c>
    </row>
    <row r="3" spans="1:13" ht="14.5">
      <c r="A3" t="s">
        <v>63</v>
      </c>
    </row>
    <row r="4" spans="1:13" ht="14.5">
      <c r="A4" t="s">
        <v>125</v>
      </c>
    </row>
    <row r="5" spans="1:13" ht="14.5">
      <c r="A5" t="s">
        <v>64</v>
      </c>
    </row>
    <row r="6" spans="1:13" ht="14.5">
      <c r="A6" t="s">
        <v>126</v>
      </c>
    </row>
    <row r="7" spans="1:13" ht="14.5">
      <c r="A7" t="s">
        <v>127</v>
      </c>
    </row>
    <row r="8" spans="1:13" ht="14.5">
      <c r="A8" t="s">
        <v>65</v>
      </c>
      <c r="D8" t="s">
        <v>66</v>
      </c>
    </row>
    <row r="9" spans="1:13" ht="14.5"/>
    <row r="10" spans="1:13" ht="14.5"/>
    <row r="11" spans="1:13" ht="14.5"/>
    <row r="12" spans="1:13" ht="14.5">
      <c r="A12" s="167" t="s">
        <v>67</v>
      </c>
    </row>
    <row r="13" spans="1:13" ht="14.5">
      <c r="B13" t="s">
        <v>68</v>
      </c>
    </row>
    <row r="14" spans="1:13" ht="14.5">
      <c r="B14" s="166">
        <v>1</v>
      </c>
      <c r="C14" s="166">
        <v>2</v>
      </c>
      <c r="D14" s="166">
        <v>3</v>
      </c>
      <c r="E14" s="166">
        <v>4</v>
      </c>
      <c r="F14" s="166">
        <v>5</v>
      </c>
      <c r="G14" s="166">
        <v>6</v>
      </c>
      <c r="H14" s="166">
        <v>7</v>
      </c>
      <c r="I14" s="166">
        <v>8</v>
      </c>
      <c r="J14" s="166">
        <v>9</v>
      </c>
      <c r="K14" s="166">
        <v>10</v>
      </c>
      <c r="L14" s="166">
        <v>11</v>
      </c>
      <c r="M14" s="166">
        <v>12</v>
      </c>
    </row>
    <row r="15" spans="1:13" ht="14.5">
      <c r="A15" s="166" t="s">
        <v>16</v>
      </c>
      <c r="B15" s="30">
        <v>1.9710000000000001</v>
      </c>
      <c r="C15" s="31">
        <v>1.97</v>
      </c>
      <c r="D15" s="31">
        <v>1.9990000000000001</v>
      </c>
      <c r="E15" s="30">
        <v>1.9710000000000001</v>
      </c>
      <c r="F15" s="31">
        <v>1.97</v>
      </c>
      <c r="G15" s="31">
        <v>1.9990000000000001</v>
      </c>
      <c r="H15" s="31"/>
      <c r="I15" s="31"/>
      <c r="J15" s="31"/>
      <c r="K15" s="31"/>
      <c r="L15" s="31"/>
      <c r="M15" s="32"/>
    </row>
    <row r="16" spans="1:13" ht="14.5">
      <c r="A16" s="166" t="s">
        <v>17</v>
      </c>
      <c r="B16" s="33">
        <v>1.9630000000000001</v>
      </c>
      <c r="C16" s="156">
        <v>1.96</v>
      </c>
      <c r="D16" s="156">
        <v>1.972</v>
      </c>
      <c r="E16" s="33">
        <v>1.9630000000000001</v>
      </c>
      <c r="F16" s="156">
        <v>1.96</v>
      </c>
      <c r="G16" s="156">
        <v>1.972</v>
      </c>
      <c r="H16" s="156"/>
      <c r="I16" s="156"/>
      <c r="J16" s="156"/>
      <c r="K16" s="156"/>
      <c r="L16" s="156"/>
      <c r="M16" s="34"/>
    </row>
    <row r="17" spans="1:13" ht="14.5">
      <c r="A17" s="166" t="s">
        <v>18</v>
      </c>
      <c r="B17" s="33">
        <v>1.9790000000000001</v>
      </c>
      <c r="C17" s="156">
        <v>2</v>
      </c>
      <c r="D17" s="156">
        <v>2.0270000000000001</v>
      </c>
      <c r="E17" s="33">
        <v>1.9790000000000001</v>
      </c>
      <c r="F17" s="156">
        <v>2</v>
      </c>
      <c r="G17" s="156">
        <v>2.0270000000000001</v>
      </c>
      <c r="H17" s="156"/>
      <c r="I17" s="156"/>
      <c r="J17" s="156"/>
      <c r="K17" s="156"/>
      <c r="L17" s="156"/>
      <c r="M17" s="34"/>
    </row>
    <row r="18" spans="1:13" ht="14.5">
      <c r="A18" s="166" t="s">
        <v>19</v>
      </c>
      <c r="B18" s="33">
        <v>2.0499999999999998</v>
      </c>
      <c r="C18" s="156">
        <v>2.0470000000000002</v>
      </c>
      <c r="D18" s="156">
        <v>2.0550000000000002</v>
      </c>
      <c r="E18" s="33">
        <v>2.0499999999999998</v>
      </c>
      <c r="F18" s="156">
        <v>2.0470000000000002</v>
      </c>
      <c r="G18" s="156">
        <v>2.0550000000000002</v>
      </c>
      <c r="H18" s="156"/>
      <c r="I18" s="156"/>
      <c r="J18" s="156"/>
      <c r="K18" s="156"/>
      <c r="L18" s="156"/>
      <c r="M18" s="34"/>
    </row>
    <row r="19" spans="1:13" ht="14.5">
      <c r="A19" s="166" t="s">
        <v>20</v>
      </c>
      <c r="B19" s="33">
        <v>2.0910000000000002</v>
      </c>
      <c r="C19" s="156">
        <v>2.0670000000000002</v>
      </c>
      <c r="D19" s="156">
        <v>2.089</v>
      </c>
      <c r="E19" s="33">
        <v>2.0910000000000002</v>
      </c>
      <c r="F19" s="156">
        <v>2.0670000000000002</v>
      </c>
      <c r="G19" s="156">
        <v>2.089</v>
      </c>
      <c r="H19" s="156"/>
      <c r="I19" s="156"/>
      <c r="J19" s="156"/>
      <c r="K19" s="156"/>
      <c r="L19" s="156"/>
      <c r="M19" s="34"/>
    </row>
    <row r="20" spans="1:13" ht="14.5">
      <c r="A20" s="166" t="s">
        <v>21</v>
      </c>
      <c r="B20" s="33">
        <v>1.897</v>
      </c>
      <c r="C20" s="156">
        <v>1.9339999999999999</v>
      </c>
      <c r="D20" s="156">
        <v>1.895</v>
      </c>
      <c r="E20" s="33">
        <v>1.897</v>
      </c>
      <c r="F20" s="156">
        <v>1.9339999999999999</v>
      </c>
      <c r="G20" s="156">
        <v>1.895</v>
      </c>
      <c r="H20" s="156"/>
      <c r="I20" s="156"/>
      <c r="J20" s="156"/>
      <c r="K20" s="156"/>
      <c r="L20" s="156"/>
      <c r="M20" s="34"/>
    </row>
    <row r="21" spans="1:13" ht="14.5">
      <c r="A21" s="166" t="s">
        <v>22</v>
      </c>
      <c r="B21" s="33">
        <v>1.907</v>
      </c>
      <c r="C21" s="156">
        <v>1.9019999999999999</v>
      </c>
      <c r="D21" s="156">
        <v>1.9139999999999999</v>
      </c>
      <c r="E21" s="33">
        <v>1.907</v>
      </c>
      <c r="F21" s="156">
        <v>1.9019999999999999</v>
      </c>
      <c r="G21" s="156">
        <v>1.9139999999999999</v>
      </c>
      <c r="H21" s="156"/>
      <c r="I21" s="156"/>
      <c r="J21" s="156"/>
      <c r="K21" s="156"/>
      <c r="L21" s="156"/>
      <c r="M21" s="34"/>
    </row>
    <row r="22" spans="1:13" ht="14.5">
      <c r="A22" s="166" t="s">
        <v>23</v>
      </c>
      <c r="B22" s="35"/>
      <c r="C22" s="36"/>
      <c r="D22" s="36"/>
      <c r="E22" s="35"/>
      <c r="F22" s="36"/>
      <c r="G22" s="36"/>
      <c r="H22" s="36"/>
      <c r="I22" s="36"/>
      <c r="J22" s="36"/>
      <c r="K22" s="36"/>
      <c r="L22" s="36"/>
      <c r="M22" s="37"/>
    </row>
    <row r="23" spans="1:13" ht="14.5"/>
    <row r="24" spans="1:13" ht="14.5">
      <c r="A24" s="167" t="s">
        <v>69</v>
      </c>
    </row>
    <row r="25" spans="1:13" ht="14.5">
      <c r="B25" t="s">
        <v>68</v>
      </c>
      <c r="E25" t="s">
        <v>68</v>
      </c>
    </row>
    <row r="26" spans="1:13" ht="14.5">
      <c r="B26" s="166">
        <v>1</v>
      </c>
      <c r="C26" s="166">
        <v>2</v>
      </c>
      <c r="D26" s="166">
        <v>3</v>
      </c>
      <c r="E26" s="166">
        <v>1</v>
      </c>
      <c r="F26" s="166">
        <v>2</v>
      </c>
      <c r="G26" s="166">
        <v>3</v>
      </c>
      <c r="H26" s="166">
        <v>7</v>
      </c>
      <c r="I26" s="166">
        <v>8</v>
      </c>
      <c r="J26" s="166">
        <v>9</v>
      </c>
      <c r="K26" s="166">
        <v>10</v>
      </c>
      <c r="L26" s="166">
        <v>11</v>
      </c>
      <c r="M26" s="166">
        <v>12</v>
      </c>
    </row>
    <row r="27" spans="1:13" ht="14.5">
      <c r="A27" s="166" t="s">
        <v>16</v>
      </c>
      <c r="B27" s="30">
        <v>1.9590000000000001</v>
      </c>
      <c r="C27" s="31">
        <v>1.9550000000000001</v>
      </c>
      <c r="D27" s="31">
        <v>1.9770000000000001</v>
      </c>
      <c r="E27" s="30">
        <v>1.9590000000000001</v>
      </c>
      <c r="F27" s="31">
        <v>1.9550000000000001</v>
      </c>
      <c r="G27" s="31">
        <v>1.9770000000000001</v>
      </c>
      <c r="H27" s="31"/>
      <c r="I27" s="31"/>
      <c r="J27" s="31"/>
      <c r="K27" s="31"/>
      <c r="L27" s="31"/>
      <c r="M27" s="32"/>
    </row>
    <row r="28" spans="1:13" ht="14.5">
      <c r="A28" s="166" t="s">
        <v>17</v>
      </c>
      <c r="B28" s="33">
        <v>1.972</v>
      </c>
      <c r="C28" s="156">
        <v>1.9830000000000001</v>
      </c>
      <c r="D28" s="156">
        <v>1.9890000000000001</v>
      </c>
      <c r="E28" s="33">
        <v>1.972</v>
      </c>
      <c r="F28" s="156">
        <v>1.9830000000000001</v>
      </c>
      <c r="G28" s="156">
        <v>1.9890000000000001</v>
      </c>
      <c r="H28" s="156"/>
      <c r="I28" s="156"/>
      <c r="J28" s="156"/>
      <c r="K28" s="156"/>
      <c r="L28" s="156"/>
      <c r="M28" s="34"/>
    </row>
    <row r="29" spans="1:13" ht="14.5">
      <c r="A29" s="166" t="s">
        <v>18</v>
      </c>
      <c r="B29" s="33">
        <v>1.9850000000000001</v>
      </c>
      <c r="C29" s="156">
        <v>2.0049999999999999</v>
      </c>
      <c r="D29" s="156">
        <v>2.0190000000000001</v>
      </c>
      <c r="E29" s="33">
        <v>1.9850000000000001</v>
      </c>
      <c r="F29" s="156">
        <v>2.0049999999999999</v>
      </c>
      <c r="G29" s="156">
        <v>2.0190000000000001</v>
      </c>
      <c r="H29" s="156"/>
      <c r="I29" s="156"/>
      <c r="J29" s="156"/>
      <c r="K29" s="156"/>
      <c r="L29" s="156"/>
      <c r="M29" s="34"/>
    </row>
    <row r="30" spans="1:13" ht="14.5">
      <c r="A30" s="166" t="s">
        <v>19</v>
      </c>
      <c r="B30" s="33">
        <v>2.1539999999999999</v>
      </c>
      <c r="C30" s="156">
        <v>2.149</v>
      </c>
      <c r="D30" s="156">
        <v>2.1589999999999998</v>
      </c>
      <c r="E30" s="33">
        <v>2.1539999999999999</v>
      </c>
      <c r="F30" s="156">
        <v>2.149</v>
      </c>
      <c r="G30" s="156">
        <v>2.1589999999999998</v>
      </c>
      <c r="H30" s="156"/>
      <c r="I30" s="156"/>
      <c r="J30" s="156"/>
      <c r="K30" s="156"/>
      <c r="L30" s="156"/>
      <c r="M30" s="34"/>
    </row>
    <row r="31" spans="1:13" ht="14.5">
      <c r="A31" s="166" t="s">
        <v>20</v>
      </c>
      <c r="B31" s="33">
        <v>2.1539999999999999</v>
      </c>
      <c r="C31" s="156">
        <v>2.1419999999999999</v>
      </c>
      <c r="D31" s="156">
        <v>2.1280000000000001</v>
      </c>
      <c r="E31" s="33">
        <v>2.1539999999999999</v>
      </c>
      <c r="F31" s="156">
        <v>2.1419999999999999</v>
      </c>
      <c r="G31" s="156">
        <v>2.1280000000000001</v>
      </c>
      <c r="H31" s="156"/>
      <c r="I31" s="156"/>
      <c r="J31" s="156"/>
      <c r="K31" s="156"/>
      <c r="L31" s="156"/>
      <c r="M31" s="34"/>
    </row>
    <row r="32" spans="1:13" ht="14.5">
      <c r="A32" s="166" t="s">
        <v>21</v>
      </c>
      <c r="B32" s="33">
        <v>1.8380000000000001</v>
      </c>
      <c r="C32" s="156">
        <v>1.883</v>
      </c>
      <c r="D32" s="156">
        <v>1.8440000000000001</v>
      </c>
      <c r="E32" s="33">
        <v>1.8380000000000001</v>
      </c>
      <c r="F32" s="156">
        <v>1.883</v>
      </c>
      <c r="G32" s="156">
        <v>1.8440000000000001</v>
      </c>
      <c r="H32" s="156"/>
      <c r="I32" s="156"/>
      <c r="J32" s="156"/>
      <c r="K32" s="156"/>
      <c r="L32" s="156"/>
      <c r="M32" s="34"/>
    </row>
    <row r="33" spans="1:13" ht="14.5">
      <c r="A33" s="166" t="s">
        <v>22</v>
      </c>
      <c r="B33" s="33">
        <v>1.871</v>
      </c>
      <c r="C33" s="156">
        <v>1.88</v>
      </c>
      <c r="D33" s="156">
        <v>1.89</v>
      </c>
      <c r="E33" s="33">
        <v>1.871</v>
      </c>
      <c r="F33" s="156">
        <v>1.88</v>
      </c>
      <c r="G33" s="156">
        <v>1.89</v>
      </c>
      <c r="H33" s="156"/>
      <c r="I33" s="156"/>
      <c r="J33" s="156"/>
      <c r="K33" s="156"/>
      <c r="L33" s="156"/>
      <c r="M33" s="34"/>
    </row>
    <row r="34" spans="1:13" ht="14.5">
      <c r="A34" s="166" t="s">
        <v>23</v>
      </c>
      <c r="B34" s="35"/>
      <c r="C34" s="36"/>
      <c r="D34" s="36"/>
      <c r="E34" s="35"/>
      <c r="F34" s="36"/>
      <c r="G34" s="36"/>
      <c r="H34" s="36"/>
      <c r="I34" s="36"/>
      <c r="J34" s="36"/>
      <c r="K34" s="36"/>
      <c r="L34" s="36"/>
      <c r="M34" s="37"/>
    </row>
    <row r="35" spans="1:13" ht="14.5"/>
    <row r="36" spans="1:13" ht="14.5">
      <c r="A36" s="167" t="s">
        <v>70</v>
      </c>
    </row>
    <row r="37" spans="1:13" ht="14.5">
      <c r="B37" t="s">
        <v>68</v>
      </c>
      <c r="E37" t="s">
        <v>68</v>
      </c>
    </row>
    <row r="38" spans="1:13" ht="14.5">
      <c r="B38" s="166">
        <v>1</v>
      </c>
      <c r="C38" s="166">
        <v>2</v>
      </c>
      <c r="D38" s="166">
        <v>3</v>
      </c>
      <c r="E38" s="166">
        <v>1</v>
      </c>
      <c r="F38" s="166">
        <v>2</v>
      </c>
      <c r="G38" s="166">
        <v>3</v>
      </c>
      <c r="H38" s="166">
        <v>7</v>
      </c>
      <c r="I38" s="166">
        <v>8</v>
      </c>
      <c r="J38" s="166">
        <v>9</v>
      </c>
      <c r="K38" s="166">
        <v>10</v>
      </c>
      <c r="L38" s="166">
        <v>11</v>
      </c>
      <c r="M38" s="166">
        <v>12</v>
      </c>
    </row>
    <row r="39" spans="1:13" ht="14.5">
      <c r="A39" s="166" t="s">
        <v>16</v>
      </c>
      <c r="B39" s="30">
        <v>1.9630000000000001</v>
      </c>
      <c r="C39" s="31">
        <v>1.956</v>
      </c>
      <c r="D39" s="31">
        <v>1.986</v>
      </c>
      <c r="E39" s="30">
        <v>1.9630000000000001</v>
      </c>
      <c r="F39" s="31">
        <v>1.956</v>
      </c>
      <c r="G39" s="31">
        <v>1.986</v>
      </c>
      <c r="H39" s="31"/>
      <c r="I39" s="31"/>
      <c r="J39" s="31"/>
      <c r="K39" s="31"/>
      <c r="L39" s="31"/>
      <c r="M39" s="32"/>
    </row>
    <row r="40" spans="1:13" ht="14.5">
      <c r="A40" s="166" t="s">
        <v>17</v>
      </c>
      <c r="B40" s="33">
        <v>1.984</v>
      </c>
      <c r="C40" s="156">
        <v>1.998</v>
      </c>
      <c r="D40" s="156">
        <v>2.0070000000000001</v>
      </c>
      <c r="E40" s="33">
        <v>1.984</v>
      </c>
      <c r="F40" s="156">
        <v>1.998</v>
      </c>
      <c r="G40" s="156">
        <v>2.0070000000000001</v>
      </c>
      <c r="H40" s="156"/>
      <c r="I40" s="156"/>
      <c r="J40" s="156"/>
      <c r="K40" s="156"/>
      <c r="L40" s="156"/>
      <c r="M40" s="34"/>
    </row>
    <row r="41" spans="1:13" ht="14.5">
      <c r="A41" s="166" t="s">
        <v>18</v>
      </c>
      <c r="B41" s="33">
        <v>2.0009999999999999</v>
      </c>
      <c r="C41" s="156">
        <v>2.0179999999999998</v>
      </c>
      <c r="D41" s="156">
        <v>2.0270000000000001</v>
      </c>
      <c r="E41" s="33">
        <v>2.0009999999999999</v>
      </c>
      <c r="F41" s="156">
        <v>2.0179999999999998</v>
      </c>
      <c r="G41" s="156">
        <v>2.0270000000000001</v>
      </c>
      <c r="H41" s="156"/>
      <c r="I41" s="156"/>
      <c r="J41" s="156"/>
      <c r="K41" s="156"/>
      <c r="L41" s="156"/>
      <c r="M41" s="34"/>
    </row>
    <row r="42" spans="1:13" ht="14.5">
      <c r="A42" s="166" t="s">
        <v>19</v>
      </c>
      <c r="B42" s="33">
        <v>2.1970000000000001</v>
      </c>
      <c r="C42" s="156">
        <v>2.218</v>
      </c>
      <c r="D42" s="156">
        <v>2.2040000000000002</v>
      </c>
      <c r="E42" s="33">
        <v>2.1970000000000001</v>
      </c>
      <c r="F42" s="156">
        <v>2.218</v>
      </c>
      <c r="G42" s="156">
        <v>2.2040000000000002</v>
      </c>
      <c r="H42" s="156"/>
      <c r="I42" s="156"/>
      <c r="J42" s="156"/>
      <c r="K42" s="156"/>
      <c r="L42" s="156"/>
      <c r="M42" s="34"/>
    </row>
    <row r="43" spans="1:13" ht="14.5">
      <c r="A43" s="166" t="s">
        <v>20</v>
      </c>
      <c r="B43" s="33">
        <v>2.1709999999999998</v>
      </c>
      <c r="C43" s="156">
        <v>2.161</v>
      </c>
      <c r="D43" s="156">
        <v>2.1669999999999998</v>
      </c>
      <c r="E43" s="33">
        <v>2.1709999999999998</v>
      </c>
      <c r="F43" s="156">
        <v>2.161</v>
      </c>
      <c r="G43" s="156">
        <v>2.1669999999999998</v>
      </c>
      <c r="H43" s="156"/>
      <c r="I43" s="156"/>
      <c r="J43" s="156"/>
      <c r="K43" s="156"/>
      <c r="L43" s="156"/>
      <c r="M43" s="34"/>
    </row>
    <row r="44" spans="1:13" ht="14.5">
      <c r="A44" s="166" t="s">
        <v>21</v>
      </c>
      <c r="B44" s="33">
        <v>1.7829999999999999</v>
      </c>
      <c r="C44" s="156">
        <v>1.823</v>
      </c>
      <c r="D44" s="156">
        <v>1.7729999999999999</v>
      </c>
      <c r="E44" s="33">
        <v>1.7829999999999999</v>
      </c>
      <c r="F44" s="156">
        <v>1.823</v>
      </c>
      <c r="G44" s="156">
        <v>1.7729999999999999</v>
      </c>
      <c r="H44" s="156"/>
      <c r="I44" s="156"/>
      <c r="J44" s="156"/>
      <c r="K44" s="156"/>
      <c r="L44" s="156"/>
      <c r="M44" s="34"/>
    </row>
    <row r="45" spans="1:13" ht="14.5">
      <c r="A45" s="166" t="s">
        <v>22</v>
      </c>
      <c r="B45" s="33">
        <v>1.8560000000000001</v>
      </c>
      <c r="C45" s="156">
        <v>1.851</v>
      </c>
      <c r="D45" s="156">
        <v>1.871</v>
      </c>
      <c r="E45" s="33">
        <v>1.8560000000000001</v>
      </c>
      <c r="F45" s="156">
        <v>1.851</v>
      </c>
      <c r="G45" s="156">
        <v>1.871</v>
      </c>
      <c r="H45" s="156"/>
      <c r="I45" s="156"/>
      <c r="J45" s="156"/>
      <c r="K45" s="156"/>
      <c r="L45" s="156"/>
      <c r="M45" s="34"/>
    </row>
    <row r="46" spans="1:13" ht="14.5">
      <c r="A46" s="166" t="s">
        <v>23</v>
      </c>
      <c r="B46" s="35"/>
      <c r="C46" s="36"/>
      <c r="D46" s="36"/>
      <c r="E46" s="35"/>
      <c r="F46" s="36"/>
      <c r="G46" s="36"/>
      <c r="H46" s="36"/>
      <c r="I46" s="36"/>
      <c r="J46" s="36"/>
      <c r="K46" s="36"/>
      <c r="L46" s="36"/>
      <c r="M46" s="37"/>
    </row>
    <row r="47" spans="1:13" ht="14.5"/>
    <row r="48" spans="1:13" ht="14.5">
      <c r="A48" s="167" t="s">
        <v>71</v>
      </c>
    </row>
    <row r="49" spans="1:13" ht="14.5">
      <c r="B49" t="s">
        <v>68</v>
      </c>
      <c r="E49" t="s">
        <v>68</v>
      </c>
    </row>
    <row r="50" spans="1:13" ht="14.5">
      <c r="B50" s="166">
        <v>1</v>
      </c>
      <c r="C50" s="166">
        <v>2</v>
      </c>
      <c r="D50" s="166">
        <v>3</v>
      </c>
      <c r="E50" s="166">
        <v>1</v>
      </c>
      <c r="F50" s="166">
        <v>2</v>
      </c>
      <c r="G50" s="166">
        <v>3</v>
      </c>
      <c r="H50" s="166">
        <v>7</v>
      </c>
      <c r="I50" s="166">
        <v>8</v>
      </c>
      <c r="J50" s="166">
        <v>9</v>
      </c>
      <c r="K50" s="166">
        <v>10</v>
      </c>
      <c r="L50" s="166">
        <v>11</v>
      </c>
      <c r="M50" s="166">
        <v>12</v>
      </c>
    </row>
    <row r="51" spans="1:13" ht="14.5">
      <c r="A51" s="166" t="s">
        <v>16</v>
      </c>
      <c r="B51" s="30">
        <v>1.966</v>
      </c>
      <c r="C51" s="31">
        <v>1.958</v>
      </c>
      <c r="D51" s="31">
        <v>1.9670000000000001</v>
      </c>
      <c r="E51" s="30">
        <v>1.966</v>
      </c>
      <c r="F51" s="31">
        <v>1.958</v>
      </c>
      <c r="G51" s="31">
        <v>1.9670000000000001</v>
      </c>
      <c r="H51" s="31"/>
      <c r="I51" s="31"/>
      <c r="J51" s="31"/>
      <c r="K51" s="31"/>
      <c r="L51" s="31"/>
      <c r="M51" s="32"/>
    </row>
    <row r="52" spans="1:13" ht="14.5">
      <c r="A52" s="166" t="s">
        <v>17</v>
      </c>
      <c r="B52" s="33">
        <v>1.9930000000000001</v>
      </c>
      <c r="C52" s="156">
        <v>2.0009999999999999</v>
      </c>
      <c r="D52" s="156">
        <v>2.0030000000000001</v>
      </c>
      <c r="E52" s="33">
        <v>1.9930000000000001</v>
      </c>
      <c r="F52" s="156">
        <v>2.0009999999999999</v>
      </c>
      <c r="G52" s="156">
        <v>2.0030000000000001</v>
      </c>
      <c r="H52" s="156"/>
      <c r="I52" s="156"/>
      <c r="J52" s="156"/>
      <c r="K52" s="156"/>
      <c r="L52" s="156"/>
      <c r="M52" s="34"/>
    </row>
    <row r="53" spans="1:13" ht="14.5">
      <c r="A53" s="166" t="s">
        <v>18</v>
      </c>
      <c r="B53" s="33">
        <v>2.0019999999999998</v>
      </c>
      <c r="C53" s="156">
        <v>2.0169999999999999</v>
      </c>
      <c r="D53" s="156">
        <v>2.0369999999999999</v>
      </c>
      <c r="E53" s="33">
        <v>2.0019999999999998</v>
      </c>
      <c r="F53" s="156">
        <v>2.0169999999999999</v>
      </c>
      <c r="G53" s="156">
        <v>2.0369999999999999</v>
      </c>
      <c r="H53" s="156"/>
      <c r="I53" s="156"/>
      <c r="J53" s="156"/>
      <c r="K53" s="156"/>
      <c r="L53" s="156"/>
      <c r="M53" s="34"/>
    </row>
    <row r="54" spans="1:13" ht="14.5">
      <c r="A54" s="166" t="s">
        <v>19</v>
      </c>
      <c r="B54" s="33">
        <v>2.2480000000000002</v>
      </c>
      <c r="C54" s="156">
        <v>2.2370000000000001</v>
      </c>
      <c r="D54" s="156">
        <v>2.2360000000000002</v>
      </c>
      <c r="E54" s="33">
        <v>2.2480000000000002</v>
      </c>
      <c r="F54" s="156">
        <v>2.2370000000000001</v>
      </c>
      <c r="G54" s="156">
        <v>2.2360000000000002</v>
      </c>
      <c r="H54" s="156"/>
      <c r="I54" s="156"/>
      <c r="J54" s="156"/>
      <c r="K54" s="156"/>
      <c r="L54" s="156"/>
      <c r="M54" s="34"/>
    </row>
    <row r="55" spans="1:13" ht="14.5">
      <c r="A55" s="166" t="s">
        <v>20</v>
      </c>
      <c r="B55" s="33">
        <v>2.1850000000000001</v>
      </c>
      <c r="C55" s="156">
        <v>2.1840000000000002</v>
      </c>
      <c r="D55" s="156">
        <v>2.1840000000000002</v>
      </c>
      <c r="E55" s="33">
        <v>2.1850000000000001</v>
      </c>
      <c r="F55" s="156">
        <v>2.1840000000000002</v>
      </c>
      <c r="G55" s="156">
        <v>2.1840000000000002</v>
      </c>
      <c r="H55" s="156"/>
      <c r="I55" s="156"/>
      <c r="J55" s="156"/>
      <c r="K55" s="156"/>
      <c r="L55" s="156"/>
      <c r="M55" s="34"/>
    </row>
    <row r="56" spans="1:13" ht="14.5">
      <c r="A56" s="166" t="s">
        <v>21</v>
      </c>
      <c r="B56" s="33">
        <v>1.718</v>
      </c>
      <c r="C56" s="156">
        <v>1.76</v>
      </c>
      <c r="D56" s="156">
        <v>1.7030000000000001</v>
      </c>
      <c r="E56" s="33">
        <v>1.718</v>
      </c>
      <c r="F56" s="156">
        <v>1.76</v>
      </c>
      <c r="G56" s="156">
        <v>1.7030000000000001</v>
      </c>
      <c r="H56" s="156"/>
      <c r="I56" s="156"/>
      <c r="J56" s="156"/>
      <c r="K56" s="156"/>
      <c r="L56" s="156"/>
      <c r="M56" s="34"/>
    </row>
    <row r="57" spans="1:13" ht="14.5">
      <c r="A57" s="166" t="s">
        <v>22</v>
      </c>
      <c r="B57" s="33">
        <v>1.82</v>
      </c>
      <c r="C57" s="156">
        <v>1.8220000000000001</v>
      </c>
      <c r="D57" s="156">
        <v>1.8360000000000001</v>
      </c>
      <c r="E57" s="33">
        <v>1.82</v>
      </c>
      <c r="F57" s="156">
        <v>1.8220000000000001</v>
      </c>
      <c r="G57" s="156">
        <v>1.8360000000000001</v>
      </c>
      <c r="H57" s="156"/>
      <c r="I57" s="156"/>
      <c r="J57" s="156"/>
      <c r="K57" s="156"/>
      <c r="L57" s="156"/>
      <c r="M57" s="34"/>
    </row>
    <row r="58" spans="1:13" ht="14.5">
      <c r="A58" s="166" t="s">
        <v>23</v>
      </c>
      <c r="B58" s="35"/>
      <c r="C58" s="36"/>
      <c r="D58" s="36"/>
      <c r="E58" s="35"/>
      <c r="F58" s="36"/>
      <c r="G58" s="36"/>
      <c r="H58" s="36"/>
      <c r="I58" s="36"/>
      <c r="J58" s="36"/>
      <c r="K58" s="36"/>
      <c r="L58" s="36"/>
      <c r="M58" s="37"/>
    </row>
    <row r="59" spans="1:13" ht="14.5"/>
    <row r="60" spans="1:13" ht="14.5">
      <c r="A60" s="167" t="s">
        <v>72</v>
      </c>
    </row>
    <row r="61" spans="1:13" ht="14.5">
      <c r="B61" t="s">
        <v>68</v>
      </c>
      <c r="E61" t="s">
        <v>68</v>
      </c>
    </row>
    <row r="62" spans="1:13" ht="14.5">
      <c r="B62" s="166">
        <v>1</v>
      </c>
      <c r="C62" s="166">
        <v>2</v>
      </c>
      <c r="D62" s="166">
        <v>3</v>
      </c>
      <c r="E62" s="166">
        <v>1</v>
      </c>
      <c r="F62" s="166">
        <v>2</v>
      </c>
      <c r="G62" s="166">
        <v>3</v>
      </c>
      <c r="H62" s="166">
        <v>7</v>
      </c>
      <c r="I62" s="166">
        <v>8</v>
      </c>
      <c r="J62" s="166">
        <v>9</v>
      </c>
      <c r="K62" s="166">
        <v>10</v>
      </c>
      <c r="L62" s="166">
        <v>11</v>
      </c>
      <c r="M62" s="166">
        <v>12</v>
      </c>
    </row>
    <row r="63" spans="1:13" ht="14.5">
      <c r="A63" s="166" t="s">
        <v>16</v>
      </c>
      <c r="B63" s="30">
        <v>1.948</v>
      </c>
      <c r="C63" s="31">
        <v>1.9359999999999999</v>
      </c>
      <c r="D63" s="31">
        <v>1.9610000000000001</v>
      </c>
      <c r="E63" s="30">
        <v>1.948</v>
      </c>
      <c r="F63" s="31">
        <v>1.9359999999999999</v>
      </c>
      <c r="G63" s="31">
        <v>1.9610000000000001</v>
      </c>
      <c r="H63" s="31"/>
      <c r="I63" s="31"/>
      <c r="J63" s="31"/>
      <c r="K63" s="31"/>
      <c r="L63" s="31"/>
      <c r="M63" s="32"/>
    </row>
    <row r="64" spans="1:13" ht="14.5">
      <c r="A64" s="166" t="s">
        <v>17</v>
      </c>
      <c r="B64" s="33">
        <v>1.988</v>
      </c>
      <c r="C64" s="156">
        <v>1.9950000000000001</v>
      </c>
      <c r="D64" s="156">
        <v>2</v>
      </c>
      <c r="E64" s="33">
        <v>1.988</v>
      </c>
      <c r="F64" s="156">
        <v>1.9950000000000001</v>
      </c>
      <c r="G64" s="156">
        <v>2</v>
      </c>
      <c r="H64" s="156"/>
      <c r="I64" s="156"/>
      <c r="J64" s="156"/>
      <c r="K64" s="156"/>
      <c r="L64" s="156"/>
      <c r="M64" s="34"/>
    </row>
    <row r="65" spans="1:13" ht="14.5">
      <c r="A65" s="166" t="s">
        <v>18</v>
      </c>
      <c r="B65" s="33">
        <v>2.004</v>
      </c>
      <c r="C65" s="156">
        <v>2.012</v>
      </c>
      <c r="D65" s="156">
        <v>2.0350000000000001</v>
      </c>
      <c r="E65" s="33">
        <v>2.004</v>
      </c>
      <c r="F65" s="156">
        <v>2.012</v>
      </c>
      <c r="G65" s="156">
        <v>2.0350000000000001</v>
      </c>
      <c r="H65" s="156"/>
      <c r="I65" s="156"/>
      <c r="J65" s="156"/>
      <c r="K65" s="156"/>
      <c r="L65" s="156"/>
      <c r="M65" s="34"/>
    </row>
    <row r="66" spans="1:13" ht="14.5">
      <c r="A66" s="166" t="s">
        <v>19</v>
      </c>
      <c r="B66" s="33">
        <v>2.2400000000000002</v>
      </c>
      <c r="C66" s="156">
        <v>2.246</v>
      </c>
      <c r="D66" s="156">
        <v>2.2429999999999999</v>
      </c>
      <c r="E66" s="33">
        <v>2.2400000000000002</v>
      </c>
      <c r="F66" s="156">
        <v>2.246</v>
      </c>
      <c r="G66" s="156">
        <v>2.2429999999999999</v>
      </c>
      <c r="H66" s="156"/>
      <c r="I66" s="156"/>
      <c r="J66" s="156"/>
      <c r="K66" s="156"/>
      <c r="L66" s="156"/>
      <c r="M66" s="34"/>
    </row>
    <row r="67" spans="1:13" ht="14.5">
      <c r="A67" s="166" t="s">
        <v>20</v>
      </c>
      <c r="B67" s="33">
        <v>2.1709999999999998</v>
      </c>
      <c r="C67" s="156">
        <v>2.1800000000000002</v>
      </c>
      <c r="D67" s="156">
        <v>2.1850000000000001</v>
      </c>
      <c r="E67" s="33">
        <v>2.1709999999999998</v>
      </c>
      <c r="F67" s="156">
        <v>2.1800000000000002</v>
      </c>
      <c r="G67" s="156">
        <v>2.1850000000000001</v>
      </c>
      <c r="H67" s="156"/>
      <c r="I67" s="156"/>
      <c r="J67" s="156"/>
      <c r="K67" s="156"/>
      <c r="L67" s="156"/>
      <c r="M67" s="34"/>
    </row>
    <row r="68" spans="1:13" ht="14.5">
      <c r="A68" s="166" t="s">
        <v>21</v>
      </c>
      <c r="B68" s="33">
        <v>1.6559999999999999</v>
      </c>
      <c r="C68" s="156">
        <v>1.6890000000000001</v>
      </c>
      <c r="D68" s="156">
        <v>1.631</v>
      </c>
      <c r="E68" s="33">
        <v>1.6559999999999999</v>
      </c>
      <c r="F68" s="156">
        <v>1.6890000000000001</v>
      </c>
      <c r="G68" s="156">
        <v>1.631</v>
      </c>
      <c r="H68" s="156"/>
      <c r="I68" s="156"/>
      <c r="J68" s="156"/>
      <c r="K68" s="156"/>
      <c r="L68" s="156"/>
      <c r="M68" s="34"/>
    </row>
    <row r="69" spans="1:13" ht="14.5">
      <c r="A69" s="166" t="s">
        <v>22</v>
      </c>
      <c r="B69" s="33">
        <v>1.778</v>
      </c>
      <c r="C69" s="156">
        <v>1.792</v>
      </c>
      <c r="D69" s="156">
        <v>1.796</v>
      </c>
      <c r="E69" s="33">
        <v>1.778</v>
      </c>
      <c r="F69" s="156">
        <v>1.792</v>
      </c>
      <c r="G69" s="156">
        <v>1.796</v>
      </c>
      <c r="H69" s="156"/>
      <c r="I69" s="156"/>
      <c r="J69" s="156"/>
      <c r="K69" s="156"/>
      <c r="L69" s="156"/>
      <c r="M69" s="34"/>
    </row>
    <row r="70" spans="1:13" ht="14.5">
      <c r="A70" s="166" t="s">
        <v>23</v>
      </c>
      <c r="B70" s="35"/>
      <c r="C70" s="36"/>
      <c r="D70" s="36"/>
      <c r="E70" s="35"/>
      <c r="F70" s="36"/>
      <c r="G70" s="36"/>
      <c r="H70" s="36"/>
      <c r="I70" s="36"/>
      <c r="J70" s="36"/>
      <c r="K70" s="36"/>
      <c r="L70" s="36"/>
      <c r="M70" s="37"/>
    </row>
    <row r="71" spans="1:13" ht="14.5"/>
    <row r="72" spans="1:13" ht="14.5">
      <c r="A72" s="167" t="s">
        <v>73</v>
      </c>
    </row>
    <row r="73" spans="1:13" ht="14.5">
      <c r="B73" t="s">
        <v>68</v>
      </c>
      <c r="E73" t="s">
        <v>68</v>
      </c>
    </row>
    <row r="74" spans="1:13" ht="14.5">
      <c r="B74" s="166">
        <v>1</v>
      </c>
      <c r="C74" s="166">
        <v>2</v>
      </c>
      <c r="D74" s="166">
        <v>3</v>
      </c>
      <c r="E74" s="166">
        <v>1</v>
      </c>
      <c r="F74" s="166">
        <v>2</v>
      </c>
      <c r="G74" s="166">
        <v>3</v>
      </c>
      <c r="H74" s="166">
        <v>7</v>
      </c>
      <c r="I74" s="166">
        <v>8</v>
      </c>
      <c r="J74" s="166">
        <v>9</v>
      </c>
      <c r="K74" s="166">
        <v>10</v>
      </c>
      <c r="L74" s="166">
        <v>11</v>
      </c>
      <c r="M74" s="166">
        <v>12</v>
      </c>
    </row>
    <row r="75" spans="1:13" ht="14.5">
      <c r="A75" s="166" t="s">
        <v>16</v>
      </c>
      <c r="B75" s="30">
        <v>1.944</v>
      </c>
      <c r="C75" s="31">
        <v>1.9239999999999999</v>
      </c>
      <c r="D75" s="31">
        <v>1.9530000000000001</v>
      </c>
      <c r="E75" s="30">
        <v>1.944</v>
      </c>
      <c r="F75" s="31">
        <v>1.9239999999999999</v>
      </c>
      <c r="G75" s="31">
        <v>1.9530000000000001</v>
      </c>
      <c r="H75" s="31"/>
      <c r="I75" s="31"/>
      <c r="J75" s="31"/>
      <c r="K75" s="31"/>
      <c r="L75" s="31"/>
      <c r="M75" s="32"/>
    </row>
    <row r="76" spans="1:13" ht="14.5">
      <c r="A76" s="166" t="s">
        <v>17</v>
      </c>
      <c r="B76" s="33">
        <v>1.986</v>
      </c>
      <c r="C76" s="156">
        <v>1.99</v>
      </c>
      <c r="D76" s="156">
        <v>1.994</v>
      </c>
      <c r="E76" s="33">
        <v>1.986</v>
      </c>
      <c r="F76" s="156">
        <v>1.99</v>
      </c>
      <c r="G76" s="156">
        <v>1.994</v>
      </c>
      <c r="H76" s="156"/>
      <c r="I76" s="156"/>
      <c r="J76" s="156"/>
      <c r="K76" s="156"/>
      <c r="L76" s="156"/>
      <c r="M76" s="34"/>
    </row>
    <row r="77" spans="1:13" ht="14.5">
      <c r="A77" s="166" t="s">
        <v>18</v>
      </c>
      <c r="B77" s="33">
        <v>2.0089999999999999</v>
      </c>
      <c r="C77" s="156">
        <v>2.0129999999999999</v>
      </c>
      <c r="D77" s="156">
        <v>2.024</v>
      </c>
      <c r="E77" s="33">
        <v>2.0089999999999999</v>
      </c>
      <c r="F77" s="156">
        <v>2.0129999999999999</v>
      </c>
      <c r="G77" s="156">
        <v>2.024</v>
      </c>
      <c r="H77" s="156"/>
      <c r="I77" s="156"/>
      <c r="J77" s="156"/>
      <c r="K77" s="156"/>
      <c r="L77" s="156"/>
      <c r="M77" s="34"/>
    </row>
    <row r="78" spans="1:13" ht="14.5">
      <c r="A78" s="166" t="s">
        <v>19</v>
      </c>
      <c r="B78" s="33">
        <v>2.238</v>
      </c>
      <c r="C78" s="156">
        <v>2.242</v>
      </c>
      <c r="D78" s="156">
        <v>2.2469999999999999</v>
      </c>
      <c r="E78" s="33">
        <v>2.238</v>
      </c>
      <c r="F78" s="156">
        <v>2.242</v>
      </c>
      <c r="G78" s="156">
        <v>2.2469999999999999</v>
      </c>
      <c r="H78" s="156"/>
      <c r="I78" s="156"/>
      <c r="J78" s="156"/>
      <c r="K78" s="156"/>
      <c r="L78" s="156"/>
      <c r="M78" s="34"/>
    </row>
    <row r="79" spans="1:13" ht="14.5">
      <c r="A79" s="166" t="s">
        <v>20</v>
      </c>
      <c r="B79" s="33">
        <v>2.1709999999999998</v>
      </c>
      <c r="C79" s="156">
        <v>2.1800000000000002</v>
      </c>
      <c r="D79" s="156">
        <v>2.1949999999999998</v>
      </c>
      <c r="E79" s="33">
        <v>2.1709999999999998</v>
      </c>
      <c r="F79" s="156">
        <v>2.1800000000000002</v>
      </c>
      <c r="G79" s="156">
        <v>2.1949999999999998</v>
      </c>
      <c r="H79" s="156"/>
      <c r="I79" s="156"/>
      <c r="J79" s="156"/>
      <c r="K79" s="156"/>
      <c r="L79" s="156"/>
      <c r="M79" s="34"/>
    </row>
    <row r="80" spans="1:13" ht="14.5">
      <c r="A80" s="166" t="s">
        <v>21</v>
      </c>
      <c r="B80" s="33">
        <v>1.6060000000000001</v>
      </c>
      <c r="C80" s="156">
        <v>1.6279999999999999</v>
      </c>
      <c r="D80" s="156">
        <v>1.5649999999999999</v>
      </c>
      <c r="E80" s="33">
        <v>1.6060000000000001</v>
      </c>
      <c r="F80" s="156">
        <v>1.6279999999999999</v>
      </c>
      <c r="G80" s="156">
        <v>1.5649999999999999</v>
      </c>
      <c r="H80" s="156"/>
      <c r="I80" s="156"/>
      <c r="J80" s="156"/>
      <c r="K80" s="156"/>
      <c r="L80" s="156"/>
      <c r="M80" s="34"/>
    </row>
    <row r="81" spans="1:13" ht="14.5">
      <c r="A81" s="166" t="s">
        <v>22</v>
      </c>
      <c r="B81" s="33">
        <v>1.76</v>
      </c>
      <c r="C81" s="156">
        <v>1.756</v>
      </c>
      <c r="D81" s="156">
        <v>1.7669999999999999</v>
      </c>
      <c r="E81" s="33">
        <v>1.76</v>
      </c>
      <c r="F81" s="156">
        <v>1.756</v>
      </c>
      <c r="G81" s="156">
        <v>1.7669999999999999</v>
      </c>
      <c r="H81" s="156"/>
      <c r="I81" s="156"/>
      <c r="J81" s="156"/>
      <c r="K81" s="156"/>
      <c r="L81" s="156"/>
      <c r="M81" s="34"/>
    </row>
    <row r="82" spans="1:13" ht="14.5">
      <c r="A82" s="166" t="s">
        <v>23</v>
      </c>
      <c r="B82" s="35"/>
      <c r="C82" s="36"/>
      <c r="D82" s="36"/>
      <c r="E82" s="35"/>
      <c r="F82" s="36"/>
      <c r="G82" s="36"/>
      <c r="H82" s="36"/>
      <c r="I82" s="36"/>
      <c r="J82" s="36"/>
      <c r="K82" s="36"/>
      <c r="L82" s="36"/>
      <c r="M82" s="37"/>
    </row>
    <row r="83" spans="1:13" ht="14.5"/>
    <row r="84" spans="1:13" ht="14.5">
      <c r="A84" s="167" t="s">
        <v>74</v>
      </c>
    </row>
    <row r="85" spans="1:13" ht="14.5">
      <c r="B85" t="s">
        <v>68</v>
      </c>
      <c r="E85" t="s">
        <v>68</v>
      </c>
    </row>
    <row r="86" spans="1:13" ht="14.5">
      <c r="B86" s="166">
        <v>1</v>
      </c>
      <c r="C86" s="166">
        <v>2</v>
      </c>
      <c r="D86" s="166">
        <v>3</v>
      </c>
      <c r="E86" s="166">
        <v>1</v>
      </c>
      <c r="F86" s="166">
        <v>2</v>
      </c>
      <c r="G86" s="166">
        <v>3</v>
      </c>
      <c r="H86" s="166">
        <v>7</v>
      </c>
      <c r="I86" s="166">
        <v>8</v>
      </c>
      <c r="J86" s="166">
        <v>9</v>
      </c>
      <c r="K86" s="166">
        <v>10</v>
      </c>
      <c r="L86" s="166">
        <v>11</v>
      </c>
      <c r="M86" s="166">
        <v>12</v>
      </c>
    </row>
    <row r="87" spans="1:13" ht="14.5">
      <c r="A87" s="166" t="s">
        <v>16</v>
      </c>
      <c r="B87" s="30">
        <v>1.9350000000000001</v>
      </c>
      <c r="C87" s="31">
        <v>1.9179999999999999</v>
      </c>
      <c r="D87" s="31">
        <v>1.952</v>
      </c>
      <c r="E87" s="30">
        <v>1.9350000000000001</v>
      </c>
      <c r="F87" s="31">
        <v>1.9179999999999999</v>
      </c>
      <c r="G87" s="31">
        <v>1.952</v>
      </c>
      <c r="H87" s="31"/>
      <c r="I87" s="31"/>
      <c r="J87" s="31"/>
      <c r="K87" s="31"/>
      <c r="L87" s="31"/>
      <c r="M87" s="32"/>
    </row>
    <row r="88" spans="1:13" ht="14.5">
      <c r="A88" s="166" t="s">
        <v>17</v>
      </c>
      <c r="B88" s="33">
        <v>1.988</v>
      </c>
      <c r="C88" s="156">
        <v>1.998</v>
      </c>
      <c r="D88" s="156">
        <v>2.0030000000000001</v>
      </c>
      <c r="E88" s="33">
        <v>1.988</v>
      </c>
      <c r="F88" s="156">
        <v>1.998</v>
      </c>
      <c r="G88" s="156">
        <v>2.0030000000000001</v>
      </c>
      <c r="H88" s="156"/>
      <c r="I88" s="156"/>
      <c r="J88" s="156"/>
      <c r="K88" s="156"/>
      <c r="L88" s="156"/>
      <c r="M88" s="34"/>
    </row>
    <row r="89" spans="1:13" ht="14.5">
      <c r="A89" s="166" t="s">
        <v>18</v>
      </c>
      <c r="B89" s="33">
        <v>2.0030000000000001</v>
      </c>
      <c r="C89" s="156">
        <v>2.0139999999999998</v>
      </c>
      <c r="D89" s="156">
        <v>2.0249999999999999</v>
      </c>
      <c r="E89" s="33">
        <v>2.0030000000000001</v>
      </c>
      <c r="F89" s="156">
        <v>2.0139999999999998</v>
      </c>
      <c r="G89" s="156">
        <v>2.0249999999999999</v>
      </c>
      <c r="H89" s="156"/>
      <c r="I89" s="156"/>
      <c r="J89" s="156"/>
      <c r="K89" s="156"/>
      <c r="L89" s="156"/>
      <c r="M89" s="34"/>
    </row>
    <row r="90" spans="1:13" ht="14.5">
      <c r="A90" s="166" t="s">
        <v>19</v>
      </c>
      <c r="B90" s="33">
        <v>2.238</v>
      </c>
      <c r="C90" s="156">
        <v>2.254</v>
      </c>
      <c r="D90" s="156">
        <v>2.2440000000000002</v>
      </c>
      <c r="E90" s="33">
        <v>2.238</v>
      </c>
      <c r="F90" s="156">
        <v>2.254</v>
      </c>
      <c r="G90" s="156">
        <v>2.2440000000000002</v>
      </c>
      <c r="H90" s="156"/>
      <c r="I90" s="156"/>
      <c r="J90" s="156"/>
      <c r="K90" s="156"/>
      <c r="L90" s="156"/>
      <c r="M90" s="34"/>
    </row>
    <row r="91" spans="1:13" ht="14.5">
      <c r="A91" s="166" t="s">
        <v>20</v>
      </c>
      <c r="B91" s="33">
        <v>2.169</v>
      </c>
      <c r="C91" s="156">
        <v>2.1840000000000002</v>
      </c>
      <c r="D91" s="156">
        <v>2.1819999999999999</v>
      </c>
      <c r="E91" s="33">
        <v>2.169</v>
      </c>
      <c r="F91" s="156">
        <v>2.1840000000000002</v>
      </c>
      <c r="G91" s="156">
        <v>2.1819999999999999</v>
      </c>
      <c r="H91" s="156"/>
      <c r="I91" s="156"/>
      <c r="J91" s="156"/>
      <c r="K91" s="156"/>
      <c r="L91" s="156"/>
      <c r="M91" s="34"/>
    </row>
    <row r="92" spans="1:13" ht="14.5">
      <c r="A92" s="166" t="s">
        <v>21</v>
      </c>
      <c r="B92" s="33">
        <v>1.5469999999999999</v>
      </c>
      <c r="C92" s="156">
        <v>1.571</v>
      </c>
      <c r="D92" s="156">
        <v>1.506</v>
      </c>
      <c r="E92" s="33">
        <v>1.5469999999999999</v>
      </c>
      <c r="F92" s="156">
        <v>1.571</v>
      </c>
      <c r="G92" s="156">
        <v>1.506</v>
      </c>
      <c r="H92" s="156"/>
      <c r="I92" s="156"/>
      <c r="J92" s="156"/>
      <c r="K92" s="156"/>
      <c r="L92" s="156"/>
      <c r="M92" s="34"/>
    </row>
    <row r="93" spans="1:13" ht="14.5">
      <c r="A93" s="166" t="s">
        <v>22</v>
      </c>
      <c r="B93" s="33">
        <v>1.7350000000000001</v>
      </c>
      <c r="C93" s="156">
        <v>1.7250000000000001</v>
      </c>
      <c r="D93" s="156">
        <v>1.744</v>
      </c>
      <c r="E93" s="33">
        <v>1.7350000000000001</v>
      </c>
      <c r="F93" s="156">
        <v>1.7250000000000001</v>
      </c>
      <c r="G93" s="156">
        <v>1.744</v>
      </c>
      <c r="H93" s="156"/>
      <c r="I93" s="156"/>
      <c r="J93" s="156"/>
      <c r="K93" s="156"/>
      <c r="L93" s="156"/>
      <c r="M93" s="34"/>
    </row>
    <row r="94" spans="1:13" ht="14.5">
      <c r="A94" s="166" t="s">
        <v>23</v>
      </c>
      <c r="B94" s="35"/>
      <c r="C94" s="36"/>
      <c r="D94" s="36"/>
      <c r="E94" s="35"/>
      <c r="F94" s="36"/>
      <c r="G94" s="36"/>
      <c r="H94" s="36"/>
      <c r="I94" s="36"/>
      <c r="J94" s="36"/>
      <c r="K94" s="36"/>
      <c r="L94" s="36"/>
      <c r="M94" s="37"/>
    </row>
    <row r="95" spans="1:13" ht="14.5"/>
    <row r="96" spans="1:13" ht="14.5">
      <c r="A96" s="167" t="s">
        <v>75</v>
      </c>
    </row>
    <row r="97" spans="1:13" ht="14.5">
      <c r="B97" t="s">
        <v>68</v>
      </c>
      <c r="E97" t="s">
        <v>68</v>
      </c>
    </row>
    <row r="98" spans="1:13" ht="14.5">
      <c r="B98" s="166">
        <v>1</v>
      </c>
      <c r="C98" s="166">
        <v>2</v>
      </c>
      <c r="D98" s="166">
        <v>3</v>
      </c>
      <c r="E98" s="166">
        <v>1</v>
      </c>
      <c r="F98" s="166">
        <v>2</v>
      </c>
      <c r="G98" s="166">
        <v>3</v>
      </c>
      <c r="H98" s="166">
        <v>7</v>
      </c>
      <c r="I98" s="166">
        <v>8</v>
      </c>
      <c r="J98" s="166">
        <v>9</v>
      </c>
      <c r="K98" s="166">
        <v>10</v>
      </c>
      <c r="L98" s="166">
        <v>11</v>
      </c>
      <c r="M98" s="166">
        <v>12</v>
      </c>
    </row>
    <row r="99" spans="1:13" ht="14.5">
      <c r="A99" s="166" t="s">
        <v>16</v>
      </c>
      <c r="B99" s="30">
        <v>1.9370000000000001</v>
      </c>
      <c r="C99" s="31">
        <v>1.915</v>
      </c>
      <c r="D99" s="31">
        <v>1.9350000000000001</v>
      </c>
      <c r="E99" s="30">
        <v>1.9370000000000001</v>
      </c>
      <c r="F99" s="31">
        <v>1.915</v>
      </c>
      <c r="G99" s="31">
        <v>1.9350000000000001</v>
      </c>
      <c r="H99" s="31"/>
      <c r="I99" s="31"/>
      <c r="J99" s="31"/>
      <c r="K99" s="31"/>
      <c r="L99" s="31"/>
      <c r="M99" s="32"/>
    </row>
    <row r="100" spans="1:13" ht="14.5">
      <c r="A100" s="166" t="s">
        <v>17</v>
      </c>
      <c r="B100" s="33">
        <v>1.9970000000000001</v>
      </c>
      <c r="C100" s="156">
        <v>2.0049999999999999</v>
      </c>
      <c r="D100" s="156">
        <v>2.0190000000000001</v>
      </c>
      <c r="E100" s="33">
        <v>1.9970000000000001</v>
      </c>
      <c r="F100" s="156">
        <v>2.0049999999999999</v>
      </c>
      <c r="G100" s="156">
        <v>2.0190000000000001</v>
      </c>
      <c r="H100" s="156"/>
      <c r="I100" s="156"/>
      <c r="J100" s="156"/>
      <c r="K100" s="156"/>
      <c r="L100" s="156"/>
      <c r="M100" s="34"/>
    </row>
    <row r="101" spans="1:13" ht="14.5">
      <c r="A101" s="166" t="s">
        <v>18</v>
      </c>
      <c r="B101" s="33">
        <v>2.004</v>
      </c>
      <c r="C101" s="156">
        <v>2.008</v>
      </c>
      <c r="D101" s="156">
        <v>2.008</v>
      </c>
      <c r="E101" s="33">
        <v>2.004</v>
      </c>
      <c r="F101" s="156">
        <v>2.008</v>
      </c>
      <c r="G101" s="156">
        <v>2.008</v>
      </c>
      <c r="H101" s="156"/>
      <c r="I101" s="156"/>
      <c r="J101" s="156"/>
      <c r="K101" s="156"/>
      <c r="L101" s="156"/>
      <c r="M101" s="34"/>
    </row>
    <row r="102" spans="1:13" ht="14.5">
      <c r="A102" s="166" t="s">
        <v>19</v>
      </c>
      <c r="B102" s="33">
        <v>2.2509999999999999</v>
      </c>
      <c r="C102" s="156">
        <v>2.2690000000000001</v>
      </c>
      <c r="D102" s="156">
        <v>2.2690000000000001</v>
      </c>
      <c r="E102" s="33">
        <v>2.2509999999999999</v>
      </c>
      <c r="F102" s="156">
        <v>2.2690000000000001</v>
      </c>
      <c r="G102" s="156">
        <v>2.2690000000000001</v>
      </c>
      <c r="H102" s="156"/>
      <c r="I102" s="156"/>
      <c r="J102" s="156"/>
      <c r="K102" s="156"/>
      <c r="L102" s="156"/>
      <c r="M102" s="34"/>
    </row>
    <row r="103" spans="1:13" ht="14.5">
      <c r="A103" s="166" t="s">
        <v>20</v>
      </c>
      <c r="B103" s="33">
        <v>2.1709999999999998</v>
      </c>
      <c r="C103" s="156">
        <v>2.19</v>
      </c>
      <c r="D103" s="156">
        <v>2.198</v>
      </c>
      <c r="E103" s="33">
        <v>2.1709999999999998</v>
      </c>
      <c r="F103" s="156">
        <v>2.19</v>
      </c>
      <c r="G103" s="156">
        <v>2.198</v>
      </c>
      <c r="H103" s="156"/>
      <c r="I103" s="156"/>
      <c r="J103" s="156"/>
      <c r="K103" s="156"/>
      <c r="L103" s="156"/>
      <c r="M103" s="34"/>
    </row>
    <row r="104" spans="1:13" ht="14.5">
      <c r="A104" s="166" t="s">
        <v>21</v>
      </c>
      <c r="B104" s="33">
        <v>1.49</v>
      </c>
      <c r="C104" s="156">
        <v>1.512</v>
      </c>
      <c r="D104" s="156">
        <v>1.4550000000000001</v>
      </c>
      <c r="E104" s="33">
        <v>1.49</v>
      </c>
      <c r="F104" s="156">
        <v>1.512</v>
      </c>
      <c r="G104" s="156">
        <v>1.4550000000000001</v>
      </c>
      <c r="H104" s="156"/>
      <c r="I104" s="156"/>
      <c r="J104" s="156"/>
      <c r="K104" s="156"/>
      <c r="L104" s="156"/>
      <c r="M104" s="34"/>
    </row>
    <row r="105" spans="1:13" ht="14.5">
      <c r="A105" s="166" t="s">
        <v>22</v>
      </c>
      <c r="B105" s="33">
        <v>1.726</v>
      </c>
      <c r="C105" s="156">
        <v>1.7190000000000001</v>
      </c>
      <c r="D105" s="156">
        <v>1.7330000000000001</v>
      </c>
      <c r="E105" s="33">
        <v>1.726</v>
      </c>
      <c r="F105" s="156">
        <v>1.7190000000000001</v>
      </c>
      <c r="G105" s="156">
        <v>1.7330000000000001</v>
      </c>
      <c r="H105" s="156"/>
      <c r="I105" s="156"/>
      <c r="J105" s="156"/>
      <c r="K105" s="156"/>
      <c r="L105" s="156"/>
      <c r="M105" s="34"/>
    </row>
    <row r="106" spans="1:13" ht="14.5">
      <c r="A106" s="166" t="s">
        <v>23</v>
      </c>
      <c r="B106" s="35"/>
      <c r="C106" s="36"/>
      <c r="D106" s="36"/>
      <c r="E106" s="35"/>
      <c r="F106" s="36"/>
      <c r="G106" s="36"/>
      <c r="H106" s="36"/>
      <c r="I106" s="36"/>
      <c r="J106" s="36"/>
      <c r="K106" s="36"/>
      <c r="L106" s="36"/>
      <c r="M106" s="37"/>
    </row>
    <row r="107" spans="1:13" ht="14.5"/>
    <row r="108" spans="1:13" ht="14.5">
      <c r="A108" s="167" t="s">
        <v>76</v>
      </c>
    </row>
    <row r="109" spans="1:13" ht="14.5">
      <c r="B109" t="s">
        <v>68</v>
      </c>
      <c r="E109" t="s">
        <v>68</v>
      </c>
    </row>
    <row r="110" spans="1:13" ht="14.5">
      <c r="B110" s="166">
        <v>1</v>
      </c>
      <c r="C110" s="166">
        <v>2</v>
      </c>
      <c r="D110" s="166">
        <v>3</v>
      </c>
      <c r="E110" s="166">
        <v>1</v>
      </c>
      <c r="F110" s="166">
        <v>2</v>
      </c>
      <c r="G110" s="166">
        <v>3</v>
      </c>
      <c r="H110" s="166">
        <v>7</v>
      </c>
      <c r="I110" s="166">
        <v>8</v>
      </c>
      <c r="J110" s="166">
        <v>9</v>
      </c>
      <c r="K110" s="166">
        <v>10</v>
      </c>
      <c r="L110" s="166">
        <v>11</v>
      </c>
      <c r="M110" s="166">
        <v>12</v>
      </c>
    </row>
    <row r="111" spans="1:13" ht="14.5">
      <c r="A111" s="166" t="s">
        <v>16</v>
      </c>
      <c r="B111" s="30">
        <v>1.9350000000000001</v>
      </c>
      <c r="C111" s="31">
        <v>1.917</v>
      </c>
      <c r="D111" s="31">
        <v>1.9530000000000001</v>
      </c>
      <c r="E111" s="30">
        <v>1.9350000000000001</v>
      </c>
      <c r="F111" s="31">
        <v>1.917</v>
      </c>
      <c r="G111" s="31">
        <v>1.9530000000000001</v>
      </c>
      <c r="H111" s="31"/>
      <c r="I111" s="31"/>
      <c r="J111" s="31"/>
      <c r="K111" s="31"/>
      <c r="L111" s="31"/>
      <c r="M111" s="32"/>
    </row>
    <row r="112" spans="1:13" ht="14.5">
      <c r="A112" s="166" t="s">
        <v>17</v>
      </c>
      <c r="B112" s="33">
        <v>2.0030000000000001</v>
      </c>
      <c r="C112" s="156">
        <v>2.0070000000000001</v>
      </c>
      <c r="D112" s="156">
        <v>2.0249999999999999</v>
      </c>
      <c r="E112" s="33">
        <v>2.0030000000000001</v>
      </c>
      <c r="F112" s="156">
        <v>2.0070000000000001</v>
      </c>
      <c r="G112" s="156">
        <v>2.0249999999999999</v>
      </c>
      <c r="H112" s="156"/>
      <c r="I112" s="156"/>
      <c r="J112" s="156"/>
      <c r="K112" s="156"/>
      <c r="L112" s="156"/>
      <c r="M112" s="34"/>
    </row>
    <row r="113" spans="1:13" ht="14.5">
      <c r="A113" s="166" t="s">
        <v>18</v>
      </c>
      <c r="B113" s="33">
        <v>1.99</v>
      </c>
      <c r="C113" s="156">
        <v>2.0089999999999999</v>
      </c>
      <c r="D113" s="156">
        <v>2.0009999999999999</v>
      </c>
      <c r="E113" s="33">
        <v>1.99</v>
      </c>
      <c r="F113" s="156">
        <v>2.0089999999999999</v>
      </c>
      <c r="G113" s="156">
        <v>2.0009999999999999</v>
      </c>
      <c r="H113" s="156"/>
      <c r="I113" s="156"/>
      <c r="J113" s="156"/>
      <c r="K113" s="156"/>
      <c r="L113" s="156"/>
      <c r="M113" s="34"/>
    </row>
    <row r="114" spans="1:13" ht="14.5">
      <c r="A114" s="166" t="s">
        <v>19</v>
      </c>
      <c r="B114" s="33">
        <v>2.2559999999999998</v>
      </c>
      <c r="C114" s="156">
        <v>2.27</v>
      </c>
      <c r="D114" s="156">
        <v>2.2629999999999999</v>
      </c>
      <c r="E114" s="33">
        <v>2.2559999999999998</v>
      </c>
      <c r="F114" s="156">
        <v>2.27</v>
      </c>
      <c r="G114" s="156">
        <v>2.2629999999999999</v>
      </c>
      <c r="H114" s="156"/>
      <c r="I114" s="156"/>
      <c r="J114" s="156"/>
      <c r="K114" s="156"/>
      <c r="L114" s="156"/>
      <c r="M114" s="34"/>
    </row>
    <row r="115" spans="1:13" ht="14.5">
      <c r="A115" s="166" t="s">
        <v>20</v>
      </c>
      <c r="B115" s="33">
        <v>2.1680000000000001</v>
      </c>
      <c r="C115" s="156">
        <v>2.1920000000000002</v>
      </c>
      <c r="D115" s="156">
        <v>2.194</v>
      </c>
      <c r="E115" s="33">
        <v>2.1680000000000001</v>
      </c>
      <c r="F115" s="156">
        <v>2.1920000000000002</v>
      </c>
      <c r="G115" s="156">
        <v>2.194</v>
      </c>
      <c r="H115" s="156"/>
      <c r="I115" s="156"/>
      <c r="J115" s="156"/>
      <c r="K115" s="156"/>
      <c r="L115" s="156"/>
      <c r="M115" s="34"/>
    </row>
    <row r="116" spans="1:13" ht="14.5">
      <c r="A116" s="166" t="s">
        <v>21</v>
      </c>
      <c r="B116" s="33">
        <v>1.4239999999999999</v>
      </c>
      <c r="C116" s="156">
        <v>1.4630000000000001</v>
      </c>
      <c r="D116" s="156">
        <v>1.4039999999999999</v>
      </c>
      <c r="E116" s="33">
        <v>1.4239999999999999</v>
      </c>
      <c r="F116" s="156">
        <v>1.4630000000000001</v>
      </c>
      <c r="G116" s="156">
        <v>1.4039999999999999</v>
      </c>
      <c r="H116" s="156"/>
      <c r="I116" s="156"/>
      <c r="J116" s="156"/>
      <c r="K116" s="156"/>
      <c r="L116" s="156"/>
      <c r="M116" s="34"/>
    </row>
    <row r="117" spans="1:13" ht="14.5">
      <c r="A117" s="166" t="s">
        <v>22</v>
      </c>
      <c r="B117" s="33">
        <v>1.722</v>
      </c>
      <c r="C117" s="156">
        <v>1.704</v>
      </c>
      <c r="D117" s="156">
        <v>1.726</v>
      </c>
      <c r="E117" s="33">
        <v>1.722</v>
      </c>
      <c r="F117" s="156">
        <v>1.704</v>
      </c>
      <c r="G117" s="156">
        <v>1.726</v>
      </c>
      <c r="H117" s="156"/>
      <c r="I117" s="156"/>
      <c r="J117" s="156"/>
      <c r="K117" s="156"/>
      <c r="L117" s="156"/>
      <c r="M117" s="34"/>
    </row>
    <row r="118" spans="1:13" ht="14.5">
      <c r="A118" s="166" t="s">
        <v>23</v>
      </c>
      <c r="B118" s="35"/>
      <c r="C118" s="36"/>
      <c r="D118" s="36"/>
      <c r="E118" s="35"/>
      <c r="F118" s="36"/>
      <c r="G118" s="36"/>
      <c r="H118" s="36"/>
      <c r="I118" s="36"/>
      <c r="J118" s="36"/>
      <c r="K118" s="36"/>
      <c r="L118" s="36"/>
      <c r="M118" s="37"/>
    </row>
    <row r="119" spans="1:13" ht="14.5"/>
    <row r="120" spans="1:13" ht="14.5">
      <c r="A120" s="167" t="s">
        <v>77</v>
      </c>
    </row>
    <row r="121" spans="1:13" ht="14.5">
      <c r="B121" t="s">
        <v>68</v>
      </c>
      <c r="E121" t="s">
        <v>68</v>
      </c>
    </row>
    <row r="122" spans="1:13" ht="14.5">
      <c r="B122" s="166">
        <v>1</v>
      </c>
      <c r="C122" s="166">
        <v>2</v>
      </c>
      <c r="D122" s="166">
        <v>3</v>
      </c>
      <c r="E122" s="166">
        <v>1</v>
      </c>
      <c r="F122" s="166">
        <v>2</v>
      </c>
      <c r="G122" s="166">
        <v>3</v>
      </c>
      <c r="H122" s="166">
        <v>7</v>
      </c>
      <c r="I122" s="166">
        <v>8</v>
      </c>
      <c r="J122" s="166">
        <v>9</v>
      </c>
      <c r="K122" s="166">
        <v>10</v>
      </c>
      <c r="L122" s="166">
        <v>11</v>
      </c>
      <c r="M122" s="166">
        <v>12</v>
      </c>
    </row>
    <row r="123" spans="1:13" ht="14.5">
      <c r="A123" s="166" t="s">
        <v>16</v>
      </c>
      <c r="B123" s="30">
        <v>1.9339999999999999</v>
      </c>
      <c r="C123" s="31">
        <v>1.911</v>
      </c>
      <c r="D123" s="31">
        <v>1.948</v>
      </c>
      <c r="E123" s="30">
        <v>1.9339999999999999</v>
      </c>
      <c r="F123" s="31">
        <v>1.911</v>
      </c>
      <c r="G123" s="31">
        <v>1.948</v>
      </c>
      <c r="H123" s="31"/>
      <c r="I123" s="31"/>
      <c r="J123" s="31"/>
      <c r="K123" s="31"/>
      <c r="L123" s="31"/>
      <c r="M123" s="32"/>
    </row>
    <row r="124" spans="1:13" ht="14.5">
      <c r="A124" s="166" t="s">
        <v>17</v>
      </c>
      <c r="B124" s="33">
        <v>2.012</v>
      </c>
      <c r="C124" s="156">
        <v>2.016</v>
      </c>
      <c r="D124" s="156">
        <v>2.0459999999999998</v>
      </c>
      <c r="E124" s="33">
        <v>2.012</v>
      </c>
      <c r="F124" s="156">
        <v>2.016</v>
      </c>
      <c r="G124" s="156">
        <v>2.0459999999999998</v>
      </c>
      <c r="H124" s="156"/>
      <c r="I124" s="156"/>
      <c r="J124" s="156"/>
      <c r="K124" s="156"/>
      <c r="L124" s="156"/>
      <c r="M124" s="34"/>
    </row>
    <row r="125" spans="1:13" ht="14.5">
      <c r="A125" s="166" t="s">
        <v>18</v>
      </c>
      <c r="B125" s="33">
        <v>1.9850000000000001</v>
      </c>
      <c r="C125" s="156">
        <v>2.0070000000000001</v>
      </c>
      <c r="D125" s="156">
        <v>2.0059999999999998</v>
      </c>
      <c r="E125" s="33">
        <v>1.9850000000000001</v>
      </c>
      <c r="F125" s="156">
        <v>2.0070000000000001</v>
      </c>
      <c r="G125" s="156">
        <v>2.0059999999999998</v>
      </c>
      <c r="H125" s="156"/>
      <c r="I125" s="156"/>
      <c r="J125" s="156"/>
      <c r="K125" s="156"/>
      <c r="L125" s="156"/>
      <c r="M125" s="34"/>
    </row>
    <row r="126" spans="1:13" ht="14.5">
      <c r="A126" s="166" t="s">
        <v>19</v>
      </c>
      <c r="B126" s="33">
        <v>2.266</v>
      </c>
      <c r="C126" s="156">
        <v>2.2690000000000001</v>
      </c>
      <c r="D126" s="156">
        <v>2.2679999999999998</v>
      </c>
      <c r="E126" s="33">
        <v>2.266</v>
      </c>
      <c r="F126" s="156">
        <v>2.2690000000000001</v>
      </c>
      <c r="G126" s="156">
        <v>2.2679999999999998</v>
      </c>
      <c r="H126" s="156"/>
      <c r="I126" s="156"/>
      <c r="J126" s="156"/>
      <c r="K126" s="156"/>
      <c r="L126" s="156"/>
      <c r="M126" s="34"/>
    </row>
    <row r="127" spans="1:13" ht="14.5">
      <c r="A127" s="166" t="s">
        <v>20</v>
      </c>
      <c r="B127" s="33">
        <v>2.1629999999999998</v>
      </c>
      <c r="C127" s="156">
        <v>2.1930000000000001</v>
      </c>
      <c r="D127" s="156">
        <v>2.1909999999999998</v>
      </c>
      <c r="E127" s="33">
        <v>2.1629999999999998</v>
      </c>
      <c r="F127" s="156">
        <v>2.1930000000000001</v>
      </c>
      <c r="G127" s="156">
        <v>2.1909999999999998</v>
      </c>
      <c r="H127" s="156"/>
      <c r="I127" s="156"/>
      <c r="J127" s="156"/>
      <c r="K127" s="156"/>
      <c r="L127" s="156"/>
      <c r="M127" s="34"/>
    </row>
    <row r="128" spans="1:13" ht="14.5">
      <c r="A128" s="166" t="s">
        <v>21</v>
      </c>
      <c r="B128" s="33">
        <v>1.369</v>
      </c>
      <c r="C128" s="156">
        <v>1.409</v>
      </c>
      <c r="D128" s="156">
        <v>1.3520000000000001</v>
      </c>
      <c r="E128" s="33">
        <v>1.369</v>
      </c>
      <c r="F128" s="156">
        <v>1.409</v>
      </c>
      <c r="G128" s="156">
        <v>1.3520000000000001</v>
      </c>
      <c r="H128" s="156"/>
      <c r="I128" s="156"/>
      <c r="J128" s="156"/>
      <c r="K128" s="156"/>
      <c r="L128" s="156"/>
      <c r="M128" s="34"/>
    </row>
    <row r="129" spans="1:13" ht="14.5">
      <c r="A129" s="166" t="s">
        <v>22</v>
      </c>
      <c r="B129" s="33">
        <v>1.706</v>
      </c>
      <c r="C129" s="156">
        <v>1.698</v>
      </c>
      <c r="D129" s="156">
        <v>1.72</v>
      </c>
      <c r="E129" s="33">
        <v>1.706</v>
      </c>
      <c r="F129" s="156">
        <v>1.698</v>
      </c>
      <c r="G129" s="156">
        <v>1.72</v>
      </c>
      <c r="H129" s="156"/>
      <c r="I129" s="156"/>
      <c r="J129" s="156"/>
      <c r="K129" s="156"/>
      <c r="L129" s="156"/>
      <c r="M129" s="34"/>
    </row>
    <row r="130" spans="1:13" ht="14.5">
      <c r="A130" s="166" t="s">
        <v>23</v>
      </c>
      <c r="B130" s="35"/>
      <c r="C130" s="36"/>
      <c r="D130" s="36"/>
      <c r="E130" s="35"/>
      <c r="F130" s="36"/>
      <c r="G130" s="36"/>
      <c r="H130" s="36"/>
      <c r="I130" s="36"/>
      <c r="J130" s="36"/>
      <c r="K130" s="36"/>
      <c r="L130" s="36"/>
      <c r="M130" s="37"/>
    </row>
    <row r="131" spans="1:13" ht="14.5"/>
    <row r="132" spans="1:13" ht="14.5">
      <c r="A132" s="167" t="s">
        <v>78</v>
      </c>
    </row>
    <row r="133" spans="1:13" ht="14.5">
      <c r="B133" t="s">
        <v>68</v>
      </c>
      <c r="E133" t="s">
        <v>68</v>
      </c>
    </row>
    <row r="134" spans="1:13" ht="14.5">
      <c r="B134" s="166">
        <v>1</v>
      </c>
      <c r="C134" s="166">
        <v>2</v>
      </c>
      <c r="D134" s="166">
        <v>3</v>
      </c>
      <c r="E134" s="166">
        <v>1</v>
      </c>
      <c r="F134" s="166">
        <v>2</v>
      </c>
      <c r="G134" s="166">
        <v>3</v>
      </c>
      <c r="H134" s="166">
        <v>7</v>
      </c>
      <c r="I134" s="166">
        <v>8</v>
      </c>
      <c r="J134" s="166">
        <v>9</v>
      </c>
      <c r="K134" s="166">
        <v>10</v>
      </c>
      <c r="L134" s="166">
        <v>11</v>
      </c>
      <c r="M134" s="166">
        <v>12</v>
      </c>
    </row>
    <row r="135" spans="1:13" ht="14.5">
      <c r="A135" s="166" t="s">
        <v>16</v>
      </c>
      <c r="B135" s="30">
        <v>1.9330000000000001</v>
      </c>
      <c r="C135" s="31">
        <v>1.9119999999999999</v>
      </c>
      <c r="D135" s="31">
        <v>1.94</v>
      </c>
      <c r="E135" s="30">
        <v>1.9330000000000001</v>
      </c>
      <c r="F135" s="31">
        <v>1.9119999999999999</v>
      </c>
      <c r="G135" s="31">
        <v>1.94</v>
      </c>
      <c r="H135" s="31"/>
      <c r="I135" s="31"/>
      <c r="J135" s="31"/>
      <c r="K135" s="31"/>
      <c r="L135" s="31"/>
      <c r="M135" s="32"/>
    </row>
    <row r="136" spans="1:13" ht="14.5">
      <c r="A136" s="166" t="s">
        <v>17</v>
      </c>
      <c r="B136" s="33">
        <v>2.02</v>
      </c>
      <c r="C136" s="156">
        <v>2.0230000000000001</v>
      </c>
      <c r="D136" s="156">
        <v>2.024</v>
      </c>
      <c r="E136" s="33">
        <v>2.02</v>
      </c>
      <c r="F136" s="156">
        <v>2.0230000000000001</v>
      </c>
      <c r="G136" s="156">
        <v>2.024</v>
      </c>
      <c r="H136" s="156"/>
      <c r="I136" s="156"/>
      <c r="J136" s="156"/>
      <c r="K136" s="156"/>
      <c r="L136" s="156"/>
      <c r="M136" s="34"/>
    </row>
    <row r="137" spans="1:13" ht="14.5">
      <c r="A137" s="166" t="s">
        <v>18</v>
      </c>
      <c r="B137" s="33">
        <v>1.98</v>
      </c>
      <c r="C137" s="156">
        <v>1.9890000000000001</v>
      </c>
      <c r="D137" s="156">
        <v>2.012</v>
      </c>
      <c r="E137" s="33">
        <v>1.98</v>
      </c>
      <c r="F137" s="156">
        <v>1.9890000000000001</v>
      </c>
      <c r="G137" s="156">
        <v>2.012</v>
      </c>
      <c r="H137" s="156"/>
      <c r="I137" s="156"/>
      <c r="J137" s="156"/>
      <c r="K137" s="156"/>
      <c r="L137" s="156"/>
      <c r="M137" s="34"/>
    </row>
    <row r="138" spans="1:13" ht="14.5">
      <c r="A138" s="166" t="s">
        <v>19</v>
      </c>
      <c r="B138" s="33">
        <v>2.2650000000000001</v>
      </c>
      <c r="C138" s="156">
        <v>2.274</v>
      </c>
      <c r="D138" s="156">
        <v>2.27</v>
      </c>
      <c r="E138" s="33">
        <v>2.2650000000000001</v>
      </c>
      <c r="F138" s="156">
        <v>2.274</v>
      </c>
      <c r="G138" s="156">
        <v>2.27</v>
      </c>
      <c r="H138" s="156"/>
      <c r="I138" s="156"/>
      <c r="J138" s="156"/>
      <c r="K138" s="156"/>
      <c r="L138" s="156"/>
      <c r="M138" s="34"/>
    </row>
    <row r="139" spans="1:13" ht="14.5">
      <c r="A139" s="166" t="s">
        <v>20</v>
      </c>
      <c r="B139" s="33">
        <v>2.1349999999999998</v>
      </c>
      <c r="C139" s="156">
        <v>2.1869999999999998</v>
      </c>
      <c r="D139" s="156">
        <v>2.1840000000000002</v>
      </c>
      <c r="E139" s="33">
        <v>2.1349999999999998</v>
      </c>
      <c r="F139" s="156">
        <v>2.1869999999999998</v>
      </c>
      <c r="G139" s="156">
        <v>2.1840000000000002</v>
      </c>
      <c r="H139" s="156"/>
      <c r="I139" s="156"/>
      <c r="J139" s="156"/>
      <c r="K139" s="156"/>
      <c r="L139" s="156"/>
      <c r="M139" s="34"/>
    </row>
    <row r="140" spans="1:13" ht="14.5">
      <c r="A140" s="166" t="s">
        <v>21</v>
      </c>
      <c r="B140" s="33">
        <v>1.325</v>
      </c>
      <c r="C140" s="156">
        <v>1.345</v>
      </c>
      <c r="D140" s="156">
        <v>1.294</v>
      </c>
      <c r="E140" s="33">
        <v>1.325</v>
      </c>
      <c r="F140" s="156">
        <v>1.345</v>
      </c>
      <c r="G140" s="156">
        <v>1.294</v>
      </c>
      <c r="H140" s="156"/>
      <c r="I140" s="156"/>
      <c r="J140" s="156"/>
      <c r="K140" s="156"/>
      <c r="L140" s="156"/>
      <c r="M140" s="34"/>
    </row>
    <row r="141" spans="1:13" ht="14.5">
      <c r="A141" s="166" t="s">
        <v>22</v>
      </c>
      <c r="B141" s="33">
        <v>1.6910000000000001</v>
      </c>
      <c r="C141" s="156">
        <v>1.6859999999999999</v>
      </c>
      <c r="D141" s="156">
        <v>1.7130000000000001</v>
      </c>
      <c r="E141" s="33">
        <v>1.6910000000000001</v>
      </c>
      <c r="F141" s="156">
        <v>1.6859999999999999</v>
      </c>
      <c r="G141" s="156">
        <v>1.7130000000000001</v>
      </c>
      <c r="H141" s="156"/>
      <c r="I141" s="156"/>
      <c r="J141" s="156"/>
      <c r="K141" s="156"/>
      <c r="L141" s="156"/>
      <c r="M141" s="34"/>
    </row>
    <row r="142" spans="1:13" ht="14.5">
      <c r="A142" s="166" t="s">
        <v>23</v>
      </c>
      <c r="B142" s="35"/>
      <c r="C142" s="36"/>
      <c r="D142" s="36"/>
      <c r="E142" s="35"/>
      <c r="F142" s="36"/>
      <c r="G142" s="36"/>
      <c r="H142" s="36"/>
      <c r="I142" s="36"/>
      <c r="J142" s="36"/>
      <c r="K142" s="36"/>
      <c r="L142" s="36"/>
      <c r="M142" s="37"/>
    </row>
    <row r="143" spans="1:13" ht="14.5"/>
    <row r="144" spans="1:13" ht="14.5">
      <c r="A144" s="167" t="s">
        <v>79</v>
      </c>
    </row>
    <row r="145" spans="1:13" ht="14.5">
      <c r="B145" t="s">
        <v>68</v>
      </c>
      <c r="E145" t="s">
        <v>68</v>
      </c>
    </row>
    <row r="146" spans="1:13" ht="14.5">
      <c r="B146" s="166">
        <v>1</v>
      </c>
      <c r="C146" s="166">
        <v>2</v>
      </c>
      <c r="D146" s="166">
        <v>3</v>
      </c>
      <c r="E146" s="166">
        <v>1</v>
      </c>
      <c r="F146" s="166">
        <v>2</v>
      </c>
      <c r="G146" s="166">
        <v>3</v>
      </c>
      <c r="H146" s="166">
        <v>7</v>
      </c>
      <c r="I146" s="166">
        <v>8</v>
      </c>
      <c r="J146" s="166">
        <v>9</v>
      </c>
      <c r="K146" s="166">
        <v>10</v>
      </c>
      <c r="L146" s="166">
        <v>11</v>
      </c>
      <c r="M146" s="166">
        <v>12</v>
      </c>
    </row>
    <row r="147" spans="1:13" ht="14.5">
      <c r="A147" s="166" t="s">
        <v>16</v>
      </c>
      <c r="B147" s="30">
        <v>1.9219999999999999</v>
      </c>
      <c r="C147" s="31">
        <v>1.9059999999999999</v>
      </c>
      <c r="D147" s="31">
        <v>1.9319999999999999</v>
      </c>
      <c r="E147" s="30">
        <v>1.9219999999999999</v>
      </c>
      <c r="F147" s="31">
        <v>1.9059999999999999</v>
      </c>
      <c r="G147" s="31">
        <v>1.9319999999999999</v>
      </c>
      <c r="H147" s="31"/>
      <c r="I147" s="31"/>
      <c r="J147" s="31"/>
      <c r="K147" s="31"/>
      <c r="L147" s="31"/>
      <c r="M147" s="32"/>
    </row>
    <row r="148" spans="1:13" ht="14.5">
      <c r="A148" s="166" t="s">
        <v>17</v>
      </c>
      <c r="B148" s="33">
        <v>2.0179999999999998</v>
      </c>
      <c r="C148" s="156">
        <v>2.0230000000000001</v>
      </c>
      <c r="D148" s="156">
        <v>2.0099999999999998</v>
      </c>
      <c r="E148" s="33">
        <v>2.0179999999999998</v>
      </c>
      <c r="F148" s="156">
        <v>2.0230000000000001</v>
      </c>
      <c r="G148" s="156">
        <v>2.0099999999999998</v>
      </c>
      <c r="H148" s="156"/>
      <c r="I148" s="156"/>
      <c r="J148" s="156"/>
      <c r="K148" s="156"/>
      <c r="L148" s="156"/>
      <c r="M148" s="34"/>
    </row>
    <row r="149" spans="1:13" ht="14.5">
      <c r="A149" s="166" t="s">
        <v>18</v>
      </c>
      <c r="B149" s="33">
        <v>1.9810000000000001</v>
      </c>
      <c r="C149" s="156">
        <v>1.976</v>
      </c>
      <c r="D149" s="156">
        <v>2.0129999999999999</v>
      </c>
      <c r="E149" s="33">
        <v>1.9810000000000001</v>
      </c>
      <c r="F149" s="156">
        <v>1.976</v>
      </c>
      <c r="G149" s="156">
        <v>2.0129999999999999</v>
      </c>
      <c r="H149" s="156"/>
      <c r="I149" s="156"/>
      <c r="J149" s="156"/>
      <c r="K149" s="156"/>
      <c r="L149" s="156"/>
      <c r="M149" s="34"/>
    </row>
    <row r="150" spans="1:13" ht="14.5">
      <c r="A150" s="166" t="s">
        <v>19</v>
      </c>
      <c r="B150" s="33">
        <v>2.2679999999999998</v>
      </c>
      <c r="C150" s="156">
        <v>2.2679999999999998</v>
      </c>
      <c r="D150" s="156">
        <v>2.2690000000000001</v>
      </c>
      <c r="E150" s="33">
        <v>2.2679999999999998</v>
      </c>
      <c r="F150" s="156">
        <v>2.2679999999999998</v>
      </c>
      <c r="G150" s="156">
        <v>2.2690000000000001</v>
      </c>
      <c r="H150" s="156"/>
      <c r="I150" s="156"/>
      <c r="J150" s="156"/>
      <c r="K150" s="156"/>
      <c r="L150" s="156"/>
      <c r="M150" s="34"/>
    </row>
    <row r="151" spans="1:13" ht="14.5">
      <c r="A151" s="166" t="s">
        <v>20</v>
      </c>
      <c r="B151" s="33">
        <v>2.137</v>
      </c>
      <c r="C151" s="156">
        <v>2.1890000000000001</v>
      </c>
      <c r="D151" s="156">
        <v>2.1930000000000001</v>
      </c>
      <c r="E151" s="33">
        <v>2.137</v>
      </c>
      <c r="F151" s="156">
        <v>2.1890000000000001</v>
      </c>
      <c r="G151" s="156">
        <v>2.1930000000000001</v>
      </c>
      <c r="H151" s="156"/>
      <c r="I151" s="156"/>
      <c r="J151" s="156"/>
      <c r="K151" s="156"/>
      <c r="L151" s="156"/>
      <c r="M151" s="34"/>
    </row>
    <row r="152" spans="1:13" ht="14.5">
      <c r="A152" s="166" t="s">
        <v>21</v>
      </c>
      <c r="B152" s="33">
        <v>1.292</v>
      </c>
      <c r="C152" s="156">
        <v>1.292</v>
      </c>
      <c r="D152" s="156">
        <v>1.2370000000000001</v>
      </c>
      <c r="E152" s="33">
        <v>1.292</v>
      </c>
      <c r="F152" s="156">
        <v>1.292</v>
      </c>
      <c r="G152" s="156">
        <v>1.2370000000000001</v>
      </c>
      <c r="H152" s="156"/>
      <c r="I152" s="156"/>
      <c r="J152" s="156"/>
      <c r="K152" s="156"/>
      <c r="L152" s="156"/>
      <c r="M152" s="34"/>
    </row>
    <row r="153" spans="1:13" ht="14.5">
      <c r="A153" s="166" t="s">
        <v>22</v>
      </c>
      <c r="B153" s="33">
        <v>1.679</v>
      </c>
      <c r="C153" s="156">
        <v>1.6779999999999999</v>
      </c>
      <c r="D153" s="156">
        <v>1.7030000000000001</v>
      </c>
      <c r="E153" s="33">
        <v>1.679</v>
      </c>
      <c r="F153" s="156">
        <v>1.6779999999999999</v>
      </c>
      <c r="G153" s="156">
        <v>1.7030000000000001</v>
      </c>
      <c r="H153" s="156"/>
      <c r="I153" s="156"/>
      <c r="J153" s="156"/>
      <c r="K153" s="156"/>
      <c r="L153" s="156"/>
      <c r="M153" s="34"/>
    </row>
    <row r="154" spans="1:13" ht="14.5">
      <c r="A154" s="166" t="s">
        <v>23</v>
      </c>
      <c r="B154" s="35"/>
      <c r="C154" s="36"/>
      <c r="D154" s="36"/>
      <c r="E154" s="35"/>
      <c r="F154" s="36"/>
      <c r="G154" s="36"/>
      <c r="H154" s="36"/>
      <c r="I154" s="36"/>
      <c r="J154" s="36"/>
      <c r="K154" s="36"/>
      <c r="L154" s="36"/>
      <c r="M154" s="37"/>
    </row>
    <row r="155" spans="1:13" ht="14.5"/>
    <row r="156" spans="1:13" ht="14.5">
      <c r="A156" s="167" t="s">
        <v>80</v>
      </c>
    </row>
    <row r="157" spans="1:13" ht="14.5">
      <c r="B157" t="s">
        <v>68</v>
      </c>
      <c r="E157" t="s">
        <v>68</v>
      </c>
    </row>
    <row r="158" spans="1:13" ht="14.5">
      <c r="B158" s="166">
        <v>1</v>
      </c>
      <c r="C158" s="166">
        <v>2</v>
      </c>
      <c r="D158" s="166">
        <v>3</v>
      </c>
      <c r="E158" s="166">
        <v>1</v>
      </c>
      <c r="F158" s="166">
        <v>2</v>
      </c>
      <c r="G158" s="166">
        <v>3</v>
      </c>
      <c r="H158" s="166">
        <v>7</v>
      </c>
      <c r="I158" s="166">
        <v>8</v>
      </c>
      <c r="J158" s="166">
        <v>9</v>
      </c>
      <c r="K158" s="166">
        <v>10</v>
      </c>
      <c r="L158" s="166">
        <v>11</v>
      </c>
      <c r="M158" s="166">
        <v>12</v>
      </c>
    </row>
    <row r="159" spans="1:13" ht="14.5">
      <c r="A159" s="166" t="s">
        <v>16</v>
      </c>
      <c r="B159" s="30">
        <v>1.915</v>
      </c>
      <c r="C159" s="31">
        <v>1.913</v>
      </c>
      <c r="D159" s="31">
        <v>1.9350000000000001</v>
      </c>
      <c r="E159" s="30">
        <v>1.915</v>
      </c>
      <c r="F159" s="31">
        <v>1.913</v>
      </c>
      <c r="G159" s="31">
        <v>1.9350000000000001</v>
      </c>
      <c r="H159" s="31"/>
      <c r="I159" s="31"/>
      <c r="J159" s="31"/>
      <c r="K159" s="31"/>
      <c r="L159" s="31"/>
      <c r="M159" s="32"/>
    </row>
    <row r="160" spans="1:13" ht="14.5">
      <c r="A160" s="166" t="s">
        <v>17</v>
      </c>
      <c r="B160" s="33">
        <v>2.0209999999999999</v>
      </c>
      <c r="C160" s="156">
        <v>2.032</v>
      </c>
      <c r="D160" s="156">
        <v>2.0070000000000001</v>
      </c>
      <c r="E160" s="33">
        <v>2.0209999999999999</v>
      </c>
      <c r="F160" s="156">
        <v>2.032</v>
      </c>
      <c r="G160" s="156">
        <v>2.0070000000000001</v>
      </c>
      <c r="H160" s="156"/>
      <c r="I160" s="156"/>
      <c r="J160" s="156"/>
      <c r="K160" s="156"/>
      <c r="L160" s="156"/>
      <c r="M160" s="34"/>
    </row>
    <row r="161" spans="1:13" ht="14.5">
      <c r="A161" s="166" t="s">
        <v>18</v>
      </c>
      <c r="B161" s="33">
        <v>1.9830000000000001</v>
      </c>
      <c r="C161" s="156">
        <v>1.9810000000000001</v>
      </c>
      <c r="D161" s="156">
        <v>2.0310000000000001</v>
      </c>
      <c r="E161" s="33">
        <v>1.9830000000000001</v>
      </c>
      <c r="F161" s="156">
        <v>1.9810000000000001</v>
      </c>
      <c r="G161" s="156">
        <v>2.0310000000000001</v>
      </c>
      <c r="H161" s="156"/>
      <c r="I161" s="156"/>
      <c r="J161" s="156"/>
      <c r="K161" s="156"/>
      <c r="L161" s="156"/>
      <c r="M161" s="34"/>
    </row>
    <row r="162" spans="1:13" ht="14.5">
      <c r="A162" s="166" t="s">
        <v>19</v>
      </c>
      <c r="B162" s="33">
        <v>2.2770000000000001</v>
      </c>
      <c r="C162" s="156">
        <v>2.2629999999999999</v>
      </c>
      <c r="D162" s="156">
        <v>2.27</v>
      </c>
      <c r="E162" s="33">
        <v>2.2770000000000001</v>
      </c>
      <c r="F162" s="156">
        <v>2.2629999999999999</v>
      </c>
      <c r="G162" s="156">
        <v>2.27</v>
      </c>
      <c r="H162" s="156"/>
      <c r="I162" s="156"/>
      <c r="J162" s="156"/>
      <c r="K162" s="156"/>
      <c r="L162" s="156"/>
      <c r="M162" s="34"/>
    </row>
    <row r="163" spans="1:13" ht="14.5">
      <c r="A163" s="166" t="s">
        <v>20</v>
      </c>
      <c r="B163" s="33">
        <v>2.1280000000000001</v>
      </c>
      <c r="C163" s="156">
        <v>2.1789999999999998</v>
      </c>
      <c r="D163" s="156">
        <v>2.1880000000000002</v>
      </c>
      <c r="E163" s="33">
        <v>2.1280000000000001</v>
      </c>
      <c r="F163" s="156">
        <v>2.1789999999999998</v>
      </c>
      <c r="G163" s="156">
        <v>2.1880000000000002</v>
      </c>
      <c r="H163" s="156"/>
      <c r="I163" s="156"/>
      <c r="J163" s="156"/>
      <c r="K163" s="156"/>
      <c r="L163" s="156"/>
      <c r="M163" s="34"/>
    </row>
    <row r="164" spans="1:13" ht="14.5">
      <c r="A164" s="166" t="s">
        <v>21</v>
      </c>
      <c r="B164" s="33">
        <v>1.216</v>
      </c>
      <c r="C164" s="156">
        <v>1.252</v>
      </c>
      <c r="D164" s="156">
        <v>1.1759999999999999</v>
      </c>
      <c r="E164" s="33">
        <v>1.216</v>
      </c>
      <c r="F164" s="156">
        <v>1.252</v>
      </c>
      <c r="G164" s="156">
        <v>1.1759999999999999</v>
      </c>
      <c r="H164" s="156"/>
      <c r="I164" s="156"/>
      <c r="J164" s="156"/>
      <c r="K164" s="156"/>
      <c r="L164" s="156"/>
      <c r="M164" s="34"/>
    </row>
    <row r="165" spans="1:13" ht="14.5">
      <c r="A165" s="166" t="s">
        <v>22</v>
      </c>
      <c r="B165" s="33">
        <v>1.6519999999999999</v>
      </c>
      <c r="C165" s="156">
        <v>1.67</v>
      </c>
      <c r="D165" s="156">
        <v>1.6759999999999999</v>
      </c>
      <c r="E165" s="33">
        <v>1.6519999999999999</v>
      </c>
      <c r="F165" s="156">
        <v>1.67</v>
      </c>
      <c r="G165" s="156">
        <v>1.6759999999999999</v>
      </c>
      <c r="H165" s="156"/>
      <c r="I165" s="156"/>
      <c r="J165" s="156"/>
      <c r="K165" s="156"/>
      <c r="L165" s="156"/>
      <c r="M165" s="34"/>
    </row>
    <row r="166" spans="1:13" ht="14.5">
      <c r="A166" s="166" t="s">
        <v>23</v>
      </c>
      <c r="B166" s="35"/>
      <c r="C166" s="36"/>
      <c r="D166" s="36"/>
      <c r="E166" s="35"/>
      <c r="F166" s="36"/>
      <c r="G166" s="36"/>
      <c r="H166" s="36"/>
      <c r="I166" s="36"/>
      <c r="J166" s="36"/>
      <c r="K166" s="36"/>
      <c r="L166" s="36"/>
      <c r="M166" s="37"/>
    </row>
    <row r="167" spans="1:13" ht="14.5"/>
    <row r="168" spans="1:13" ht="14.5">
      <c r="A168" s="167" t="s">
        <v>81</v>
      </c>
    </row>
    <row r="169" spans="1:13" ht="14.5">
      <c r="B169" t="s">
        <v>68</v>
      </c>
      <c r="E169" t="s">
        <v>68</v>
      </c>
    </row>
    <row r="170" spans="1:13" ht="14.5">
      <c r="B170" s="166">
        <v>1</v>
      </c>
      <c r="C170" s="166">
        <v>2</v>
      </c>
      <c r="D170" s="166">
        <v>3</v>
      </c>
      <c r="E170" s="166">
        <v>1</v>
      </c>
      <c r="F170" s="166">
        <v>2</v>
      </c>
      <c r="G170" s="166">
        <v>3</v>
      </c>
      <c r="H170" s="166">
        <v>7</v>
      </c>
      <c r="I170" s="166">
        <v>8</v>
      </c>
      <c r="J170" s="166">
        <v>9</v>
      </c>
      <c r="K170" s="166">
        <v>10</v>
      </c>
      <c r="L170" s="166">
        <v>11</v>
      </c>
      <c r="M170" s="166">
        <v>12</v>
      </c>
    </row>
    <row r="171" spans="1:13" ht="14.5">
      <c r="A171" s="166" t="s">
        <v>16</v>
      </c>
      <c r="B171" s="30">
        <v>1.9219999999999999</v>
      </c>
      <c r="C171" s="31">
        <v>1.901</v>
      </c>
      <c r="D171" s="31">
        <v>1.93</v>
      </c>
      <c r="E171" s="30">
        <v>1.9219999999999999</v>
      </c>
      <c r="F171" s="31">
        <v>1.901</v>
      </c>
      <c r="G171" s="31">
        <v>1.93</v>
      </c>
      <c r="H171" s="31"/>
      <c r="I171" s="31"/>
      <c r="J171" s="31"/>
      <c r="K171" s="31"/>
      <c r="L171" s="31"/>
      <c r="M171" s="32"/>
    </row>
    <row r="172" spans="1:13" ht="14.5">
      <c r="A172" s="166" t="s">
        <v>17</v>
      </c>
      <c r="B172" s="33">
        <v>2.024</v>
      </c>
      <c r="C172" s="156">
        <v>2.024</v>
      </c>
      <c r="D172" s="156">
        <v>2.0059999999999998</v>
      </c>
      <c r="E172" s="33">
        <v>2.024</v>
      </c>
      <c r="F172" s="156">
        <v>2.024</v>
      </c>
      <c r="G172" s="156">
        <v>2.0059999999999998</v>
      </c>
      <c r="H172" s="156"/>
      <c r="I172" s="156"/>
      <c r="J172" s="156"/>
      <c r="K172" s="156"/>
      <c r="L172" s="156"/>
      <c r="M172" s="34"/>
    </row>
    <row r="173" spans="1:13" ht="14.5">
      <c r="A173" s="166" t="s">
        <v>18</v>
      </c>
      <c r="B173" s="33">
        <v>1.986</v>
      </c>
      <c r="C173" s="156">
        <v>1.9850000000000001</v>
      </c>
      <c r="D173" s="156">
        <v>2.0249999999999999</v>
      </c>
      <c r="E173" s="33">
        <v>1.986</v>
      </c>
      <c r="F173" s="156">
        <v>1.9850000000000001</v>
      </c>
      <c r="G173" s="156">
        <v>2.0249999999999999</v>
      </c>
      <c r="H173" s="156"/>
      <c r="I173" s="156"/>
      <c r="J173" s="156"/>
      <c r="K173" s="156"/>
      <c r="L173" s="156"/>
      <c r="M173" s="34"/>
    </row>
    <row r="174" spans="1:13" ht="14.5">
      <c r="A174" s="166" t="s">
        <v>19</v>
      </c>
      <c r="B174" s="33">
        <v>2.2650000000000001</v>
      </c>
      <c r="C174" s="156">
        <v>2.274</v>
      </c>
      <c r="D174" s="156">
        <v>2.2639999999999998</v>
      </c>
      <c r="E174" s="33">
        <v>2.2650000000000001</v>
      </c>
      <c r="F174" s="156">
        <v>2.274</v>
      </c>
      <c r="G174" s="156">
        <v>2.2639999999999998</v>
      </c>
      <c r="H174" s="156"/>
      <c r="I174" s="156"/>
      <c r="J174" s="156"/>
      <c r="K174" s="156"/>
      <c r="L174" s="156"/>
      <c r="M174" s="34"/>
    </row>
    <row r="175" spans="1:13" ht="14.5">
      <c r="A175" s="166" t="s">
        <v>20</v>
      </c>
      <c r="B175" s="33">
        <v>2.1160000000000001</v>
      </c>
      <c r="C175" s="156">
        <v>2.1880000000000002</v>
      </c>
      <c r="D175" s="156">
        <v>2.1949999999999998</v>
      </c>
      <c r="E175" s="33">
        <v>2.1160000000000001</v>
      </c>
      <c r="F175" s="156">
        <v>2.1880000000000002</v>
      </c>
      <c r="G175" s="156">
        <v>2.1949999999999998</v>
      </c>
      <c r="H175" s="156"/>
      <c r="I175" s="156"/>
      <c r="J175" s="156"/>
      <c r="K175" s="156"/>
      <c r="L175" s="156"/>
      <c r="M175" s="34"/>
    </row>
    <row r="176" spans="1:13" ht="14.5">
      <c r="A176" s="166" t="s">
        <v>21</v>
      </c>
      <c r="B176" s="33">
        <v>1.129</v>
      </c>
      <c r="C176" s="156">
        <v>1.1990000000000001</v>
      </c>
      <c r="D176" s="156">
        <v>1.101</v>
      </c>
      <c r="E176" s="33">
        <v>1.129</v>
      </c>
      <c r="F176" s="156">
        <v>1.1990000000000001</v>
      </c>
      <c r="G176" s="156">
        <v>1.101</v>
      </c>
      <c r="H176" s="156"/>
      <c r="I176" s="156"/>
      <c r="J176" s="156"/>
      <c r="K176" s="156"/>
      <c r="L176" s="156"/>
      <c r="M176" s="34"/>
    </row>
    <row r="177" spans="1:13" ht="14.5">
      <c r="A177" s="166" t="s">
        <v>22</v>
      </c>
      <c r="B177" s="33">
        <v>1.631</v>
      </c>
      <c r="C177" s="156">
        <v>1.6379999999999999</v>
      </c>
      <c r="D177" s="156">
        <v>1.641</v>
      </c>
      <c r="E177" s="33">
        <v>1.631</v>
      </c>
      <c r="F177" s="156">
        <v>1.6379999999999999</v>
      </c>
      <c r="G177" s="156">
        <v>1.641</v>
      </c>
      <c r="H177" s="156"/>
      <c r="I177" s="156"/>
      <c r="J177" s="156"/>
      <c r="K177" s="156"/>
      <c r="L177" s="156"/>
      <c r="M177" s="34"/>
    </row>
    <row r="178" spans="1:13" ht="14.5">
      <c r="A178" s="166" t="s">
        <v>23</v>
      </c>
      <c r="B178" s="35"/>
      <c r="C178" s="36"/>
      <c r="D178" s="36"/>
      <c r="E178" s="35"/>
      <c r="F178" s="36"/>
      <c r="G178" s="36"/>
      <c r="H178" s="36"/>
      <c r="I178" s="36"/>
      <c r="J178" s="36"/>
      <c r="K178" s="36"/>
      <c r="L178" s="36"/>
      <c r="M178" s="37"/>
    </row>
    <row r="179" spans="1:13" ht="14.5"/>
    <row r="180" spans="1:13" ht="14.5">
      <c r="A180" s="167" t="s">
        <v>82</v>
      </c>
    </row>
    <row r="181" spans="1:13" ht="14.5">
      <c r="B181" t="s">
        <v>68</v>
      </c>
      <c r="E181" t="s">
        <v>68</v>
      </c>
    </row>
    <row r="182" spans="1:13" ht="14.5">
      <c r="B182" s="166">
        <v>1</v>
      </c>
      <c r="C182" s="166">
        <v>2</v>
      </c>
      <c r="D182" s="166">
        <v>3</v>
      </c>
      <c r="E182" s="166">
        <v>1</v>
      </c>
      <c r="F182" s="166">
        <v>2</v>
      </c>
      <c r="G182" s="166">
        <v>3</v>
      </c>
      <c r="H182" s="166">
        <v>7</v>
      </c>
      <c r="I182" s="166">
        <v>8</v>
      </c>
      <c r="J182" s="166">
        <v>9</v>
      </c>
      <c r="K182" s="166">
        <v>10</v>
      </c>
      <c r="L182" s="166">
        <v>11</v>
      </c>
      <c r="M182" s="166">
        <v>12</v>
      </c>
    </row>
    <row r="183" spans="1:13" ht="14.5">
      <c r="A183" s="166" t="s">
        <v>16</v>
      </c>
      <c r="B183" s="30">
        <v>1.919</v>
      </c>
      <c r="C183" s="31">
        <v>1.905</v>
      </c>
      <c r="D183" s="31">
        <v>1.925</v>
      </c>
      <c r="E183" s="30">
        <v>1.919</v>
      </c>
      <c r="F183" s="31">
        <v>1.905</v>
      </c>
      <c r="G183" s="31">
        <v>1.925</v>
      </c>
      <c r="H183" s="31"/>
      <c r="I183" s="31"/>
      <c r="J183" s="31"/>
      <c r="K183" s="31"/>
      <c r="L183" s="31"/>
      <c r="M183" s="32"/>
    </row>
    <row r="184" spans="1:13" ht="14.5">
      <c r="A184" s="166" t="s">
        <v>17</v>
      </c>
      <c r="B184" s="33">
        <v>2.016</v>
      </c>
      <c r="C184" s="156">
        <v>2.0219999999999998</v>
      </c>
      <c r="D184" s="156">
        <v>2.016</v>
      </c>
      <c r="E184" s="33">
        <v>2.016</v>
      </c>
      <c r="F184" s="156">
        <v>2.0219999999999998</v>
      </c>
      <c r="G184" s="156">
        <v>2.016</v>
      </c>
      <c r="H184" s="156"/>
      <c r="I184" s="156"/>
      <c r="J184" s="156"/>
      <c r="K184" s="156"/>
      <c r="L184" s="156"/>
      <c r="M184" s="34"/>
    </row>
    <row r="185" spans="1:13" ht="14.5">
      <c r="A185" s="166" t="s">
        <v>18</v>
      </c>
      <c r="B185" s="33">
        <v>2.004</v>
      </c>
      <c r="C185" s="156">
        <v>1.998</v>
      </c>
      <c r="D185" s="156">
        <v>2.0259999999999998</v>
      </c>
      <c r="E185" s="33">
        <v>2.004</v>
      </c>
      <c r="F185" s="156">
        <v>1.998</v>
      </c>
      <c r="G185" s="156">
        <v>2.0259999999999998</v>
      </c>
      <c r="H185" s="156"/>
      <c r="I185" s="156"/>
      <c r="J185" s="156"/>
      <c r="K185" s="156"/>
      <c r="L185" s="156"/>
      <c r="M185" s="34"/>
    </row>
    <row r="186" spans="1:13" ht="14.5">
      <c r="A186" s="166" t="s">
        <v>19</v>
      </c>
      <c r="B186" s="33">
        <v>2.262</v>
      </c>
      <c r="C186" s="156">
        <v>2.2759999999999998</v>
      </c>
      <c r="D186" s="156">
        <v>2.2770000000000001</v>
      </c>
      <c r="E186" s="33">
        <v>2.262</v>
      </c>
      <c r="F186" s="156">
        <v>2.2759999999999998</v>
      </c>
      <c r="G186" s="156">
        <v>2.2770000000000001</v>
      </c>
      <c r="H186" s="156"/>
      <c r="I186" s="156"/>
      <c r="J186" s="156"/>
      <c r="K186" s="156"/>
      <c r="L186" s="156"/>
      <c r="M186" s="34"/>
    </row>
    <row r="187" spans="1:13" ht="14.5">
      <c r="A187" s="166" t="s">
        <v>20</v>
      </c>
      <c r="B187" s="33">
        <v>2.117</v>
      </c>
      <c r="C187" s="156">
        <v>2.2040000000000002</v>
      </c>
      <c r="D187" s="156">
        <v>2.1949999999999998</v>
      </c>
      <c r="E187" s="33">
        <v>2.117</v>
      </c>
      <c r="F187" s="156">
        <v>2.2040000000000002</v>
      </c>
      <c r="G187" s="156">
        <v>2.1949999999999998</v>
      </c>
      <c r="H187" s="156"/>
      <c r="I187" s="156"/>
      <c r="J187" s="156"/>
      <c r="K187" s="156"/>
      <c r="L187" s="156"/>
      <c r="M187" s="34"/>
    </row>
    <row r="188" spans="1:13" ht="14.5">
      <c r="A188" s="166" t="s">
        <v>21</v>
      </c>
      <c r="B188" s="33">
        <v>1.0469999999999999</v>
      </c>
      <c r="C188" s="156">
        <v>1.137</v>
      </c>
      <c r="D188" s="156">
        <v>1.022</v>
      </c>
      <c r="E188" s="33">
        <v>1.0469999999999999</v>
      </c>
      <c r="F188" s="156">
        <v>1.137</v>
      </c>
      <c r="G188" s="156">
        <v>1.022</v>
      </c>
      <c r="H188" s="156"/>
      <c r="I188" s="156"/>
      <c r="J188" s="156"/>
      <c r="K188" s="156"/>
      <c r="L188" s="156"/>
      <c r="M188" s="34"/>
    </row>
    <row r="189" spans="1:13" ht="14.5">
      <c r="A189" s="166" t="s">
        <v>22</v>
      </c>
      <c r="B189" s="33">
        <v>1.597</v>
      </c>
      <c r="C189" s="156">
        <v>1.6040000000000001</v>
      </c>
      <c r="D189" s="156">
        <v>1.6060000000000001</v>
      </c>
      <c r="E189" s="33">
        <v>1.597</v>
      </c>
      <c r="F189" s="156">
        <v>1.6040000000000001</v>
      </c>
      <c r="G189" s="156">
        <v>1.6060000000000001</v>
      </c>
      <c r="H189" s="156"/>
      <c r="I189" s="156"/>
      <c r="J189" s="156"/>
      <c r="K189" s="156"/>
      <c r="L189" s="156"/>
      <c r="M189" s="34"/>
    </row>
    <row r="190" spans="1:13" ht="14.5">
      <c r="A190" s="166" t="s">
        <v>23</v>
      </c>
      <c r="B190" s="35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7"/>
    </row>
    <row r="191" spans="1:13" ht="14.5"/>
    <row r="192" spans="1:13" ht="14.5">
      <c r="A192" s="167" t="s">
        <v>83</v>
      </c>
    </row>
    <row r="193" spans="1:13" ht="14.5">
      <c r="B193" t="s">
        <v>68</v>
      </c>
    </row>
    <row r="194" spans="1:13" ht="14.5">
      <c r="B194" s="166">
        <v>1</v>
      </c>
      <c r="C194" s="166">
        <v>2</v>
      </c>
      <c r="D194" s="166">
        <v>3</v>
      </c>
      <c r="E194" s="166">
        <v>4</v>
      </c>
      <c r="F194" s="166">
        <v>5</v>
      </c>
      <c r="G194" s="166">
        <v>6</v>
      </c>
      <c r="H194" s="166">
        <v>7</v>
      </c>
      <c r="I194" s="166">
        <v>8</v>
      </c>
      <c r="J194" s="166">
        <v>9</v>
      </c>
      <c r="K194" s="166">
        <v>10</v>
      </c>
      <c r="L194" s="166">
        <v>11</v>
      </c>
      <c r="M194" s="166">
        <v>12</v>
      </c>
    </row>
    <row r="195" spans="1:13" ht="14.5">
      <c r="A195" s="166" t="s">
        <v>16</v>
      </c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2"/>
    </row>
    <row r="196" spans="1:13" ht="14.5">
      <c r="A196" s="166" t="s">
        <v>17</v>
      </c>
      <c r="B196" s="33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34"/>
    </row>
    <row r="197" spans="1:13" ht="14.5">
      <c r="A197" s="166" t="s">
        <v>18</v>
      </c>
      <c r="B197" s="33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34"/>
    </row>
    <row r="198" spans="1:13" ht="14.5">
      <c r="A198" s="166" t="s">
        <v>19</v>
      </c>
      <c r="B198" s="33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34"/>
    </row>
    <row r="199" spans="1:13" ht="14.5">
      <c r="A199" s="166" t="s">
        <v>20</v>
      </c>
      <c r="B199" s="33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34"/>
    </row>
    <row r="200" spans="1:13" ht="14.5">
      <c r="A200" s="166" t="s">
        <v>21</v>
      </c>
      <c r="B200" s="33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34"/>
    </row>
    <row r="201" spans="1:13" ht="14.5">
      <c r="A201" s="166" t="s">
        <v>22</v>
      </c>
      <c r="B201" s="33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34"/>
    </row>
    <row r="202" spans="1:13" ht="14.5">
      <c r="A202" s="166" t="s">
        <v>23</v>
      </c>
      <c r="B202" s="35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7"/>
    </row>
    <row r="203" spans="1:13" ht="14.5"/>
    <row r="204" spans="1:13" ht="14.5">
      <c r="A204" s="167" t="s">
        <v>84</v>
      </c>
    </row>
    <row r="205" spans="1:13" ht="14.5"/>
    <row r="206" spans="1:13" ht="14.5">
      <c r="B206" s="166"/>
      <c r="C206" s="166"/>
      <c r="D206" s="166"/>
      <c r="E206" s="166"/>
      <c r="F206" s="166"/>
      <c r="G206" s="166"/>
      <c r="H206" s="166">
        <v>7</v>
      </c>
      <c r="I206" s="166">
        <v>8</v>
      </c>
      <c r="J206" s="166">
        <v>9</v>
      </c>
      <c r="K206" s="166">
        <v>10</v>
      </c>
      <c r="L206" s="166">
        <v>11</v>
      </c>
      <c r="M206" s="166">
        <v>12</v>
      </c>
    </row>
    <row r="207" spans="1:13" ht="14.5">
      <c r="A207" s="166" t="s">
        <v>16</v>
      </c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2"/>
    </row>
    <row r="208" spans="1:13" ht="14.5">
      <c r="A208" s="166" t="s">
        <v>17</v>
      </c>
      <c r="B208" s="33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34"/>
    </row>
    <row r="209" spans="1:13" ht="14.5">
      <c r="A209" s="166" t="s">
        <v>18</v>
      </c>
      <c r="B209" s="33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34"/>
    </row>
    <row r="210" spans="1:13" ht="14.5">
      <c r="A210" s="166" t="s">
        <v>19</v>
      </c>
      <c r="B210" s="33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34"/>
    </row>
    <row r="211" spans="1:13" ht="14.5">
      <c r="A211" s="166" t="s">
        <v>20</v>
      </c>
      <c r="B211" s="33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34"/>
    </row>
    <row r="212" spans="1:13" ht="14.5">
      <c r="A212" s="166" t="s">
        <v>21</v>
      </c>
      <c r="B212" s="33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34"/>
    </row>
    <row r="213" spans="1:13" ht="14.5">
      <c r="A213" s="166" t="s">
        <v>22</v>
      </c>
      <c r="B213" s="33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34"/>
    </row>
    <row r="214" spans="1:13" ht="14.5">
      <c r="A214" s="166" t="s">
        <v>23</v>
      </c>
      <c r="B214" s="35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7"/>
    </row>
    <row r="215" spans="1:13" ht="14.5"/>
    <row r="216" spans="1:13" ht="14.5">
      <c r="A216" s="167" t="s">
        <v>85</v>
      </c>
    </row>
    <row r="217" spans="1:13" ht="14.5"/>
    <row r="218" spans="1:13" ht="14.5">
      <c r="B218" s="166"/>
      <c r="C218" s="166"/>
      <c r="D218" s="166"/>
      <c r="E218" s="166"/>
      <c r="F218" s="166"/>
      <c r="G218" s="166"/>
      <c r="H218" s="166">
        <v>7</v>
      </c>
      <c r="I218" s="166">
        <v>8</v>
      </c>
      <c r="J218" s="166">
        <v>9</v>
      </c>
      <c r="K218" s="166">
        <v>10</v>
      </c>
      <c r="L218" s="166">
        <v>11</v>
      </c>
      <c r="M218" s="166">
        <v>12</v>
      </c>
    </row>
    <row r="219" spans="1:13" ht="14.5">
      <c r="A219" s="166" t="s">
        <v>16</v>
      </c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2"/>
    </row>
    <row r="220" spans="1:13" ht="14.5">
      <c r="A220" s="166" t="s">
        <v>17</v>
      </c>
      <c r="B220" s="33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34"/>
    </row>
    <row r="221" spans="1:13" ht="14.5">
      <c r="A221" s="166" t="s">
        <v>18</v>
      </c>
      <c r="B221" s="33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34"/>
    </row>
    <row r="222" spans="1:13" ht="14.5">
      <c r="A222" s="166" t="s">
        <v>19</v>
      </c>
      <c r="B222" s="33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34"/>
    </row>
    <row r="223" spans="1:13" ht="14.5">
      <c r="A223" s="166" t="s">
        <v>20</v>
      </c>
      <c r="B223" s="33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34"/>
    </row>
    <row r="224" spans="1:13" ht="14.5">
      <c r="A224" s="166" t="s">
        <v>21</v>
      </c>
      <c r="B224" s="33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34"/>
    </row>
    <row r="225" spans="1:13" ht="14.5">
      <c r="A225" s="166" t="s">
        <v>22</v>
      </c>
      <c r="B225" s="33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34"/>
    </row>
    <row r="226" spans="1:13" ht="14.5">
      <c r="A226" s="166" t="s">
        <v>23</v>
      </c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7"/>
    </row>
    <row r="227" spans="1:13" ht="14.5"/>
    <row r="228" spans="1:13" ht="14.5">
      <c r="A228" s="167" t="s">
        <v>86</v>
      </c>
    </row>
    <row r="229" spans="1:13" ht="14.5"/>
    <row r="230" spans="1:13" ht="14.5">
      <c r="B230" s="166"/>
      <c r="C230" s="166"/>
      <c r="D230" s="166"/>
      <c r="E230" s="166"/>
      <c r="F230" s="166"/>
      <c r="G230" s="166"/>
      <c r="H230" s="166">
        <v>7</v>
      </c>
      <c r="I230" s="166">
        <v>8</v>
      </c>
      <c r="J230" s="166">
        <v>9</v>
      </c>
      <c r="K230" s="166">
        <v>10</v>
      </c>
      <c r="L230" s="166">
        <v>11</v>
      </c>
      <c r="M230" s="166">
        <v>12</v>
      </c>
    </row>
    <row r="231" spans="1:13" ht="14.5">
      <c r="A231" s="166" t="s">
        <v>16</v>
      </c>
      <c r="B231" s="30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2"/>
    </row>
    <row r="232" spans="1:13" ht="14.5">
      <c r="A232" s="166" t="s">
        <v>17</v>
      </c>
      <c r="B232" s="33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34"/>
    </row>
    <row r="233" spans="1:13" ht="14.5">
      <c r="A233" s="166" t="s">
        <v>18</v>
      </c>
      <c r="B233" s="33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34"/>
    </row>
    <row r="234" spans="1:13" ht="14.5">
      <c r="A234" s="166" t="s">
        <v>19</v>
      </c>
      <c r="B234" s="33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34"/>
    </row>
    <row r="235" spans="1:13" ht="14.5">
      <c r="A235" s="166" t="s">
        <v>20</v>
      </c>
      <c r="B235" s="33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34"/>
    </row>
    <row r="236" spans="1:13" ht="14.5">
      <c r="A236" s="166" t="s">
        <v>21</v>
      </c>
      <c r="B236" s="33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34"/>
    </row>
    <row r="237" spans="1:13" ht="14.5">
      <c r="A237" s="166" t="s">
        <v>22</v>
      </c>
      <c r="B237" s="33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34"/>
    </row>
    <row r="238" spans="1:13" ht="14.5">
      <c r="A238" s="166" t="s">
        <v>23</v>
      </c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7"/>
    </row>
    <row r="239" spans="1:13" ht="14.5"/>
    <row r="240" spans="1:13" ht="14.5">
      <c r="A240" s="167" t="s">
        <v>87</v>
      </c>
    </row>
    <row r="241" spans="1:13" ht="14.5"/>
    <row r="242" spans="1:13" ht="14.5">
      <c r="B242" s="166"/>
      <c r="C242" s="166"/>
      <c r="D242" s="166"/>
      <c r="E242" s="166"/>
      <c r="F242" s="166"/>
      <c r="G242" s="166"/>
      <c r="H242" s="166">
        <v>7</v>
      </c>
      <c r="I242" s="166">
        <v>8</v>
      </c>
      <c r="J242" s="166">
        <v>9</v>
      </c>
      <c r="K242" s="166">
        <v>10</v>
      </c>
      <c r="L242" s="166">
        <v>11</v>
      </c>
      <c r="M242" s="166">
        <v>12</v>
      </c>
    </row>
    <row r="243" spans="1:13" ht="14.5">
      <c r="A243" s="166" t="s">
        <v>16</v>
      </c>
      <c r="B243" s="30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2"/>
    </row>
    <row r="244" spans="1:13" ht="14.5">
      <c r="A244" s="166" t="s">
        <v>17</v>
      </c>
      <c r="B244" s="33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34"/>
    </row>
    <row r="245" spans="1:13" ht="14.5">
      <c r="A245" s="166" t="s">
        <v>18</v>
      </c>
      <c r="B245" s="33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34"/>
    </row>
    <row r="246" spans="1:13" ht="14.5">
      <c r="A246" s="166" t="s">
        <v>19</v>
      </c>
      <c r="B246" s="33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34"/>
    </row>
    <row r="247" spans="1:13" ht="14.5">
      <c r="A247" s="166" t="s">
        <v>20</v>
      </c>
      <c r="B247" s="33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34"/>
    </row>
    <row r="248" spans="1:13" ht="14.5">
      <c r="A248" s="166" t="s">
        <v>21</v>
      </c>
      <c r="B248" s="33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34"/>
    </row>
    <row r="249" spans="1:13" ht="14.5">
      <c r="A249" s="166" t="s">
        <v>22</v>
      </c>
      <c r="B249" s="33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34"/>
    </row>
    <row r="250" spans="1:13" ht="14.5">
      <c r="A250" s="166" t="s">
        <v>23</v>
      </c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7"/>
    </row>
    <row r="251" spans="1:13" ht="15.75" customHeight="1"/>
    <row r="252" spans="1:13" ht="15.75" customHeight="1">
      <c r="A252" s="167" t="s">
        <v>118</v>
      </c>
    </row>
    <row r="253" spans="1:13" ht="15.75" customHeight="1"/>
    <row r="254" spans="1:13" ht="15.75" customHeight="1">
      <c r="B254" s="166"/>
      <c r="C254" s="166"/>
      <c r="D254" s="166"/>
      <c r="E254" s="166"/>
      <c r="F254" s="166"/>
      <c r="G254" s="166"/>
      <c r="H254" s="166">
        <v>7</v>
      </c>
      <c r="I254" s="166">
        <v>8</v>
      </c>
      <c r="J254" s="166">
        <v>9</v>
      </c>
      <c r="K254" s="166">
        <v>10</v>
      </c>
      <c r="L254" s="166">
        <v>11</v>
      </c>
      <c r="M254" s="166">
        <v>12</v>
      </c>
    </row>
    <row r="255" spans="1:13" ht="15.75" customHeight="1">
      <c r="A255" s="166" t="s">
        <v>16</v>
      </c>
      <c r="B255" s="30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2"/>
    </row>
    <row r="256" spans="1:13" ht="15.75" customHeight="1">
      <c r="A256" s="166" t="s">
        <v>17</v>
      </c>
      <c r="B256" s="33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34"/>
    </row>
    <row r="257" spans="1:13" ht="15.75" customHeight="1">
      <c r="A257" s="166" t="s">
        <v>18</v>
      </c>
      <c r="B257" s="33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34"/>
    </row>
    <row r="258" spans="1:13" ht="15.75" customHeight="1">
      <c r="A258" s="166" t="s">
        <v>19</v>
      </c>
      <c r="B258" s="33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34"/>
    </row>
    <row r="259" spans="1:13" ht="15.75" customHeight="1">
      <c r="A259" s="166" t="s">
        <v>20</v>
      </c>
      <c r="B259" s="33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34"/>
    </row>
    <row r="260" spans="1:13" ht="15.75" customHeight="1">
      <c r="A260" s="166" t="s">
        <v>21</v>
      </c>
      <c r="B260" s="33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34"/>
    </row>
    <row r="261" spans="1:13" ht="15.75" customHeight="1">
      <c r="A261" s="166" t="s">
        <v>22</v>
      </c>
      <c r="B261" s="33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34"/>
    </row>
    <row r="262" spans="1:13" ht="15.75" customHeight="1">
      <c r="A262" s="166" t="s">
        <v>23</v>
      </c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7"/>
    </row>
    <row r="263" spans="1:13" ht="15.75" customHeight="1"/>
    <row r="264" spans="1:13" ht="15.75" customHeight="1">
      <c r="A264" s="167" t="s">
        <v>119</v>
      </c>
    </row>
    <row r="265" spans="1:13" ht="15.75" customHeight="1"/>
    <row r="266" spans="1:13" ht="15.75" customHeight="1">
      <c r="B266" s="166"/>
      <c r="C266" s="166"/>
      <c r="D266" s="166"/>
      <c r="E266" s="166"/>
      <c r="F266" s="166"/>
      <c r="G266" s="166"/>
      <c r="H266" s="166">
        <v>7</v>
      </c>
      <c r="I266" s="166">
        <v>8</v>
      </c>
      <c r="J266" s="166">
        <v>9</v>
      </c>
      <c r="K266" s="166">
        <v>10</v>
      </c>
      <c r="L266" s="166">
        <v>11</v>
      </c>
      <c r="M266" s="166">
        <v>12</v>
      </c>
    </row>
    <row r="267" spans="1:13" ht="15.75" customHeight="1">
      <c r="A267" s="166" t="s">
        <v>16</v>
      </c>
      <c r="B267" s="30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2"/>
    </row>
    <row r="268" spans="1:13" ht="15.75" customHeight="1">
      <c r="A268" s="166" t="s">
        <v>17</v>
      </c>
      <c r="B268" s="33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34"/>
    </row>
    <row r="269" spans="1:13" ht="15.75" customHeight="1">
      <c r="A269" s="166" t="s">
        <v>18</v>
      </c>
      <c r="B269" s="33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34"/>
    </row>
    <row r="270" spans="1:13" ht="15.75" customHeight="1">
      <c r="A270" s="166" t="s">
        <v>19</v>
      </c>
      <c r="B270" s="33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34"/>
    </row>
    <row r="271" spans="1:13" ht="15.75" customHeight="1">
      <c r="A271" s="166" t="s">
        <v>20</v>
      </c>
      <c r="B271" s="33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34"/>
    </row>
    <row r="272" spans="1:13" ht="15.75" customHeight="1">
      <c r="A272" s="166" t="s">
        <v>21</v>
      </c>
      <c r="B272" s="33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34"/>
    </row>
    <row r="273" spans="1:13" ht="15.75" customHeight="1">
      <c r="A273" s="166" t="s">
        <v>22</v>
      </c>
      <c r="B273" s="33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34"/>
    </row>
    <row r="274" spans="1:13" ht="15.75" customHeight="1">
      <c r="A274" s="166" t="s">
        <v>23</v>
      </c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7"/>
    </row>
    <row r="275" spans="1:13" ht="15.75" customHeight="1"/>
    <row r="276" spans="1:13" ht="15.75" customHeight="1">
      <c r="A276" s="167" t="s">
        <v>120</v>
      </c>
    </row>
    <row r="277" spans="1:13" ht="15.75" customHeight="1"/>
    <row r="278" spans="1:13" ht="15.75" customHeight="1">
      <c r="B278" s="166"/>
      <c r="C278" s="166"/>
      <c r="D278" s="166"/>
      <c r="E278" s="166"/>
      <c r="F278" s="166"/>
      <c r="G278" s="166"/>
      <c r="H278" s="166">
        <v>7</v>
      </c>
      <c r="I278" s="166">
        <v>8</v>
      </c>
      <c r="J278" s="166">
        <v>9</v>
      </c>
      <c r="K278" s="166">
        <v>10</v>
      </c>
      <c r="L278" s="166">
        <v>11</v>
      </c>
      <c r="M278" s="166">
        <v>12</v>
      </c>
    </row>
    <row r="279" spans="1:13" ht="15.75" customHeight="1">
      <c r="A279" s="166" t="s">
        <v>16</v>
      </c>
      <c r="B279" s="30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2"/>
    </row>
    <row r="280" spans="1:13" ht="15.75" customHeight="1">
      <c r="A280" s="166" t="s">
        <v>17</v>
      </c>
      <c r="B280" s="33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34"/>
    </row>
    <row r="281" spans="1:13" ht="15.75" customHeight="1">
      <c r="A281" s="166" t="s">
        <v>18</v>
      </c>
      <c r="B281" s="33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34"/>
    </row>
    <row r="282" spans="1:13" ht="15.75" customHeight="1">
      <c r="A282" s="166" t="s">
        <v>19</v>
      </c>
      <c r="B282" s="33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34"/>
    </row>
    <row r="283" spans="1:13" ht="15.75" customHeight="1">
      <c r="A283" s="166" t="s">
        <v>20</v>
      </c>
      <c r="B283" s="33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34"/>
    </row>
    <row r="284" spans="1:13" ht="15.75" customHeight="1">
      <c r="A284" s="166" t="s">
        <v>21</v>
      </c>
      <c r="B284" s="33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34"/>
    </row>
    <row r="285" spans="1:13" ht="15.75" customHeight="1">
      <c r="A285" s="166" t="s">
        <v>22</v>
      </c>
      <c r="B285" s="33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34"/>
    </row>
    <row r="286" spans="1:13" ht="15.75" customHeight="1">
      <c r="A286" s="166" t="s">
        <v>23</v>
      </c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7"/>
    </row>
    <row r="287" spans="1:13" ht="15.75" customHeight="1"/>
    <row r="288" spans="1:13" ht="15.75" customHeight="1">
      <c r="A288" s="167" t="s">
        <v>121</v>
      </c>
    </row>
    <row r="289" spans="1:13" ht="15.75" customHeight="1"/>
    <row r="290" spans="1:13" ht="15.75" customHeight="1">
      <c r="B290" s="166"/>
      <c r="C290" s="166"/>
      <c r="D290" s="166"/>
      <c r="E290" s="166"/>
      <c r="F290" s="166"/>
      <c r="G290" s="166"/>
      <c r="H290" s="166">
        <v>7</v>
      </c>
      <c r="I290" s="166">
        <v>8</v>
      </c>
      <c r="J290" s="166">
        <v>9</v>
      </c>
      <c r="K290" s="166">
        <v>10</v>
      </c>
      <c r="L290" s="166">
        <v>11</v>
      </c>
      <c r="M290" s="166">
        <v>12</v>
      </c>
    </row>
    <row r="291" spans="1:13" ht="15.75" customHeight="1">
      <c r="A291" s="166" t="s">
        <v>16</v>
      </c>
      <c r="B291" s="30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2"/>
    </row>
    <row r="292" spans="1:13" ht="15.75" customHeight="1">
      <c r="A292" s="166" t="s">
        <v>17</v>
      </c>
      <c r="B292" s="33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34"/>
    </row>
    <row r="293" spans="1:13" ht="15.75" customHeight="1">
      <c r="A293" s="166" t="s">
        <v>18</v>
      </c>
      <c r="B293" s="33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34"/>
    </row>
    <row r="294" spans="1:13" ht="15.75" customHeight="1">
      <c r="A294" s="166" t="s">
        <v>19</v>
      </c>
      <c r="B294" s="33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34"/>
    </row>
    <row r="295" spans="1:13" ht="15.75" customHeight="1">
      <c r="A295" s="166" t="s">
        <v>20</v>
      </c>
      <c r="B295" s="33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34"/>
    </row>
    <row r="296" spans="1:13" ht="15.75" customHeight="1">
      <c r="A296" s="166" t="s">
        <v>21</v>
      </c>
      <c r="B296" s="33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34"/>
    </row>
    <row r="297" spans="1:13" ht="15.75" customHeight="1">
      <c r="A297" s="166" t="s">
        <v>22</v>
      </c>
      <c r="B297" s="33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34"/>
    </row>
    <row r="298" spans="1:13" ht="15.75" customHeight="1">
      <c r="A298" s="166" t="s">
        <v>23</v>
      </c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7"/>
    </row>
    <row r="299" spans="1:13" ht="15.75" customHeight="1"/>
    <row r="300" spans="1:13" ht="15.75" customHeight="1">
      <c r="A300" s="167" t="s">
        <v>122</v>
      </c>
    </row>
    <row r="301" spans="1:13" ht="15.75" customHeight="1"/>
    <row r="302" spans="1:13" ht="15.75" customHeight="1">
      <c r="B302" s="166"/>
      <c r="C302" s="166"/>
      <c r="D302" s="166"/>
      <c r="E302" s="166"/>
      <c r="F302" s="166"/>
      <c r="G302" s="166"/>
      <c r="H302" s="166">
        <v>7</v>
      </c>
      <c r="I302" s="166">
        <v>8</v>
      </c>
      <c r="J302" s="166">
        <v>9</v>
      </c>
      <c r="K302" s="166">
        <v>10</v>
      </c>
      <c r="L302" s="166">
        <v>11</v>
      </c>
      <c r="M302" s="166">
        <v>12</v>
      </c>
    </row>
    <row r="303" spans="1:13" ht="15.75" customHeight="1">
      <c r="A303" s="166" t="s">
        <v>16</v>
      </c>
      <c r="B303" s="30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2"/>
    </row>
    <row r="304" spans="1:13" ht="15.75" customHeight="1">
      <c r="A304" s="166" t="s">
        <v>17</v>
      </c>
      <c r="B304" s="33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34"/>
    </row>
    <row r="305" spans="1:13" ht="15.75" customHeight="1">
      <c r="A305" s="166" t="s">
        <v>18</v>
      </c>
      <c r="B305" s="33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34"/>
    </row>
    <row r="306" spans="1:13" ht="15.75" customHeight="1">
      <c r="A306" s="166" t="s">
        <v>19</v>
      </c>
      <c r="B306" s="33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34"/>
    </row>
    <row r="307" spans="1:13" ht="15.75" customHeight="1">
      <c r="A307" s="166" t="s">
        <v>20</v>
      </c>
      <c r="B307" s="33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34"/>
    </row>
    <row r="308" spans="1:13" ht="15.75" customHeight="1">
      <c r="A308" s="166" t="s">
        <v>21</v>
      </c>
      <c r="B308" s="33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34"/>
    </row>
    <row r="309" spans="1:13" ht="15.75" customHeight="1">
      <c r="A309" s="166" t="s">
        <v>22</v>
      </c>
      <c r="B309" s="33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34"/>
    </row>
    <row r="310" spans="1:13" ht="15.75" customHeight="1">
      <c r="A310" s="166" t="s">
        <v>23</v>
      </c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7"/>
    </row>
    <row r="311" spans="1:13" ht="15.75" customHeight="1"/>
    <row r="312" spans="1:13" ht="15.75" customHeight="1">
      <c r="A312" s="167" t="s">
        <v>123</v>
      </c>
    </row>
    <row r="313" spans="1:13" ht="15.75" customHeight="1"/>
    <row r="314" spans="1:13" ht="15.75" customHeight="1">
      <c r="B314" s="166"/>
      <c r="C314" s="166"/>
      <c r="D314" s="166"/>
      <c r="E314" s="166"/>
      <c r="F314" s="166"/>
      <c r="G314" s="166"/>
      <c r="H314" s="166">
        <v>7</v>
      </c>
      <c r="I314" s="166">
        <v>8</v>
      </c>
      <c r="J314" s="166">
        <v>9</v>
      </c>
      <c r="K314" s="166">
        <v>10</v>
      </c>
      <c r="L314" s="166">
        <v>11</v>
      </c>
      <c r="M314" s="166">
        <v>12</v>
      </c>
    </row>
    <row r="315" spans="1:13" ht="15.75" customHeight="1">
      <c r="A315" s="166" t="s">
        <v>16</v>
      </c>
      <c r="B315" s="30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2"/>
    </row>
    <row r="316" spans="1:13" ht="15.75" customHeight="1">
      <c r="A316" s="166" t="s">
        <v>17</v>
      </c>
      <c r="B316" s="33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34"/>
    </row>
    <row r="317" spans="1:13" ht="15.75" customHeight="1">
      <c r="A317" s="166" t="s">
        <v>18</v>
      </c>
      <c r="B317" s="33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34"/>
    </row>
    <row r="318" spans="1:13" ht="15.75" customHeight="1">
      <c r="A318" s="166" t="s">
        <v>19</v>
      </c>
      <c r="B318" s="33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34"/>
    </row>
    <row r="319" spans="1:13" ht="15.75" customHeight="1">
      <c r="A319" s="166" t="s">
        <v>20</v>
      </c>
      <c r="B319" s="33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34"/>
    </row>
    <row r="320" spans="1:13" ht="15.75" customHeight="1">
      <c r="A320" s="166" t="s">
        <v>21</v>
      </c>
      <c r="B320" s="33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34"/>
    </row>
    <row r="321" spans="1:13" ht="15.75" customHeight="1">
      <c r="A321" s="166" t="s">
        <v>22</v>
      </c>
      <c r="B321" s="33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34"/>
    </row>
    <row r="322" spans="1:13" ht="15.75" customHeight="1">
      <c r="A322" s="166" t="s">
        <v>23</v>
      </c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7"/>
    </row>
    <row r="323" spans="1:13" ht="15.75" customHeight="1"/>
    <row r="324" spans="1:13" ht="15.75" customHeight="1">
      <c r="A324" s="167" t="s">
        <v>124</v>
      </c>
    </row>
    <row r="325" spans="1:13" ht="15.75" customHeight="1"/>
    <row r="326" spans="1:13" ht="15.75" customHeight="1">
      <c r="B326" s="166"/>
      <c r="C326" s="166"/>
      <c r="D326" s="166"/>
      <c r="E326" s="166"/>
      <c r="F326" s="166"/>
      <c r="G326" s="166"/>
      <c r="H326" s="166">
        <v>7</v>
      </c>
      <c r="I326" s="166">
        <v>8</v>
      </c>
      <c r="J326" s="166">
        <v>9</v>
      </c>
      <c r="K326" s="166">
        <v>10</v>
      </c>
      <c r="L326" s="166">
        <v>11</v>
      </c>
      <c r="M326" s="166">
        <v>12</v>
      </c>
    </row>
    <row r="327" spans="1:13" ht="15.75" customHeight="1">
      <c r="A327" s="166" t="s">
        <v>16</v>
      </c>
      <c r="B327" s="30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2"/>
    </row>
    <row r="328" spans="1:13" ht="15.75" customHeight="1">
      <c r="A328" s="166" t="s">
        <v>17</v>
      </c>
      <c r="B328" s="33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34"/>
    </row>
    <row r="329" spans="1:13" ht="15.75" customHeight="1">
      <c r="A329" s="166" t="s">
        <v>18</v>
      </c>
      <c r="B329" s="33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34"/>
    </row>
    <row r="330" spans="1:13" ht="15.75" customHeight="1">
      <c r="A330" s="166" t="s">
        <v>19</v>
      </c>
      <c r="B330" s="33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34"/>
    </row>
    <row r="331" spans="1:13" ht="15.75" customHeight="1">
      <c r="A331" s="166" t="s">
        <v>20</v>
      </c>
      <c r="B331" s="33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34"/>
    </row>
    <row r="332" spans="1:13" ht="15.75" customHeight="1">
      <c r="A332" s="166" t="s">
        <v>21</v>
      </c>
      <c r="B332" s="33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34"/>
    </row>
    <row r="333" spans="1:13" ht="15.75" customHeight="1">
      <c r="A333" s="166" t="s">
        <v>22</v>
      </c>
      <c r="B333" s="33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34"/>
    </row>
    <row r="334" spans="1:13" ht="15.75" customHeight="1">
      <c r="A334" s="166" t="s">
        <v>23</v>
      </c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7"/>
    </row>
    <row r="335" spans="1:13" ht="15.75" customHeight="1"/>
    <row r="336" spans="1:13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96F0-130E-1447-819B-BAD0863E08EF}">
  <sheetPr>
    <tabColor theme="6" tint="-0.499984740745262"/>
  </sheetPr>
  <dimension ref="C3:BP614"/>
  <sheetViews>
    <sheetView topLeftCell="X1" zoomScale="80" zoomScaleNormal="80" workbookViewId="0">
      <selection activeCell="X55" sqref="X55"/>
    </sheetView>
  </sheetViews>
  <sheetFormatPr defaultColWidth="10.6328125" defaultRowHeight="14.5"/>
  <cols>
    <col min="20" max="20" width="20.81640625" customWidth="1"/>
    <col min="21" max="29" width="16" customWidth="1"/>
    <col min="30" max="30" width="28" customWidth="1"/>
    <col min="31" max="31" width="16" style="15" customWidth="1"/>
    <col min="32" max="32" width="18.453125" style="15" customWidth="1"/>
    <col min="33" max="40" width="13.08984375" style="15" customWidth="1"/>
    <col min="41" max="41" width="29.6328125" customWidth="1"/>
    <col min="42" max="42" width="21.08984375" customWidth="1"/>
  </cols>
  <sheetData>
    <row r="3" spans="3:65" ht="16" customHeight="1">
      <c r="C3" s="62"/>
      <c r="D3" s="62"/>
      <c r="E3" s="62"/>
      <c r="F3" s="62"/>
      <c r="G3" s="62"/>
      <c r="H3" s="62"/>
      <c r="I3" s="62"/>
      <c r="J3" s="62"/>
    </row>
    <row r="4" spans="3:65" ht="16" customHeight="1">
      <c r="C4" s="206" t="s">
        <v>54</v>
      </c>
      <c r="D4" s="207"/>
      <c r="E4" s="207"/>
      <c r="F4" s="207"/>
      <c r="G4" s="208"/>
      <c r="H4" s="99"/>
      <c r="I4" s="99"/>
      <c r="J4" s="99"/>
      <c r="L4" s="215" t="s">
        <v>40</v>
      </c>
      <c r="M4" s="216"/>
      <c r="N4" s="216"/>
      <c r="O4" s="216"/>
      <c r="P4" s="216"/>
      <c r="Q4" s="216"/>
      <c r="R4" s="216"/>
      <c r="S4" s="216"/>
      <c r="T4" s="216"/>
      <c r="U4" s="217"/>
      <c r="V4" s="112"/>
      <c r="W4" s="215" t="s">
        <v>46</v>
      </c>
      <c r="X4" s="216"/>
      <c r="Y4" s="216"/>
      <c r="Z4" s="216"/>
      <c r="AA4" s="216"/>
      <c r="AB4" s="216"/>
      <c r="AC4" s="216"/>
      <c r="AD4" s="216"/>
      <c r="AE4" s="217"/>
      <c r="AF4" s="220"/>
      <c r="AG4" s="183" t="s">
        <v>36</v>
      </c>
      <c r="AH4" s="184"/>
      <c r="AI4" s="184"/>
      <c r="AJ4" s="184"/>
      <c r="AK4" s="184"/>
      <c r="AL4" s="184"/>
      <c r="AM4" s="184"/>
      <c r="AN4" s="184"/>
      <c r="AO4" s="185"/>
    </row>
    <row r="5" spans="3:65" ht="16" customHeight="1">
      <c r="C5" s="209"/>
      <c r="D5" s="210"/>
      <c r="E5" s="210"/>
      <c r="F5" s="210"/>
      <c r="G5" s="211"/>
      <c r="H5" s="99"/>
      <c r="I5" s="99"/>
      <c r="J5" s="99"/>
      <c r="L5" s="218"/>
      <c r="M5" s="219"/>
      <c r="N5" s="219"/>
      <c r="O5" s="219"/>
      <c r="P5" s="219"/>
      <c r="Q5" s="219"/>
      <c r="R5" s="219"/>
      <c r="S5" s="219"/>
      <c r="T5" s="219"/>
      <c r="U5" s="219"/>
      <c r="V5" s="105"/>
      <c r="W5" s="223"/>
      <c r="X5" s="224"/>
      <c r="Y5" s="224"/>
      <c r="Z5" s="224"/>
      <c r="AA5" s="224"/>
      <c r="AB5" s="224"/>
      <c r="AC5" s="224"/>
      <c r="AD5" s="224"/>
      <c r="AE5" s="225"/>
      <c r="AF5" s="220"/>
      <c r="AG5" s="188"/>
      <c r="AH5" s="176"/>
      <c r="AI5" s="176"/>
      <c r="AJ5" s="176"/>
      <c r="AK5" s="176"/>
      <c r="AL5" s="176"/>
      <c r="AM5" s="176"/>
      <c r="AN5" s="176"/>
      <c r="AO5" s="189"/>
    </row>
    <row r="6" spans="3:65" ht="16" customHeight="1">
      <c r="C6" s="209"/>
      <c r="D6" s="210"/>
      <c r="E6" s="210"/>
      <c r="F6" s="210"/>
      <c r="G6" s="211"/>
      <c r="H6" s="99"/>
      <c r="I6" s="99"/>
      <c r="J6" s="99"/>
      <c r="L6" s="221" t="s">
        <v>44</v>
      </c>
      <c r="M6" s="222"/>
      <c r="N6" s="222"/>
      <c r="O6" s="222"/>
      <c r="P6" s="222"/>
      <c r="Q6" s="222"/>
      <c r="R6" s="222"/>
      <c r="S6" s="222"/>
      <c r="T6" s="222"/>
      <c r="U6" s="222"/>
      <c r="V6" s="106"/>
      <c r="W6" s="221" t="s">
        <v>47</v>
      </c>
      <c r="X6" s="222"/>
      <c r="Y6" s="222"/>
      <c r="Z6" s="222"/>
      <c r="AA6" s="222"/>
      <c r="AB6" s="222"/>
      <c r="AC6" s="222"/>
      <c r="AD6" s="222"/>
      <c r="AE6" s="192"/>
      <c r="AF6" s="197"/>
      <c r="AG6" s="221" t="s">
        <v>61</v>
      </c>
      <c r="AH6" s="222"/>
      <c r="AI6" s="222"/>
      <c r="AJ6" s="222"/>
      <c r="AK6" s="222"/>
      <c r="AL6" s="222"/>
      <c r="AM6" s="222"/>
      <c r="AN6" s="222"/>
      <c r="AO6" s="192"/>
    </row>
    <row r="7" spans="3:65" ht="15" customHeight="1">
      <c r="C7" s="209"/>
      <c r="D7" s="210"/>
      <c r="E7" s="210"/>
      <c r="F7" s="210"/>
      <c r="G7" s="211"/>
      <c r="H7" s="99"/>
      <c r="I7" s="99"/>
      <c r="J7" s="99"/>
      <c r="L7" s="193"/>
      <c r="M7" s="197"/>
      <c r="N7" s="197"/>
      <c r="O7" s="197"/>
      <c r="P7" s="197"/>
      <c r="Q7" s="197"/>
      <c r="R7" s="197"/>
      <c r="S7" s="197"/>
      <c r="T7" s="197"/>
      <c r="U7" s="197"/>
      <c r="V7" s="106"/>
      <c r="W7" s="193"/>
      <c r="X7" s="197"/>
      <c r="Y7" s="197"/>
      <c r="Z7" s="197"/>
      <c r="AA7" s="197"/>
      <c r="AB7" s="197"/>
      <c r="AC7" s="197"/>
      <c r="AD7" s="197"/>
      <c r="AE7" s="194"/>
      <c r="AF7" s="197"/>
      <c r="AG7" s="193"/>
      <c r="AH7" s="197"/>
      <c r="AI7" s="197"/>
      <c r="AJ7" s="197"/>
      <c r="AK7" s="197"/>
      <c r="AL7" s="197"/>
      <c r="AM7" s="197"/>
      <c r="AN7" s="197"/>
      <c r="AO7" s="194"/>
    </row>
    <row r="8" spans="3:65" ht="16" customHeight="1">
      <c r="C8" s="209"/>
      <c r="D8" s="210"/>
      <c r="E8" s="210"/>
      <c r="F8" s="210"/>
      <c r="G8" s="211"/>
      <c r="H8" s="99"/>
      <c r="I8" s="99"/>
      <c r="J8" s="99"/>
      <c r="K8" s="11"/>
      <c r="L8" s="193"/>
      <c r="M8" s="197"/>
      <c r="N8" s="197"/>
      <c r="O8" s="197"/>
      <c r="P8" s="197"/>
      <c r="Q8" s="197"/>
      <c r="R8" s="197"/>
      <c r="S8" s="197"/>
      <c r="T8" s="197"/>
      <c r="U8" s="197"/>
      <c r="V8" s="106"/>
      <c r="W8" s="195"/>
      <c r="X8" s="233"/>
      <c r="Y8" s="233"/>
      <c r="Z8" s="233"/>
      <c r="AA8" s="233"/>
      <c r="AB8" s="233"/>
      <c r="AC8" s="233"/>
      <c r="AD8" s="233"/>
      <c r="AE8" s="196"/>
      <c r="AF8" s="197"/>
      <c r="AG8" s="195"/>
      <c r="AH8" s="233"/>
      <c r="AI8" s="233"/>
      <c r="AJ8" s="233"/>
      <c r="AK8" s="233"/>
      <c r="AL8" s="233"/>
      <c r="AM8" s="233"/>
      <c r="AN8" s="233"/>
      <c r="AO8" s="196"/>
    </row>
    <row r="9" spans="3:65" ht="16">
      <c r="C9" s="209"/>
      <c r="D9" s="210"/>
      <c r="E9" s="210"/>
      <c r="F9" s="210"/>
      <c r="G9" s="211"/>
      <c r="H9" s="99"/>
      <c r="I9" s="99"/>
      <c r="J9" s="99"/>
      <c r="K9" s="11"/>
      <c r="L9" s="87"/>
      <c r="M9" s="88"/>
      <c r="N9" s="88"/>
      <c r="O9" s="88"/>
      <c r="P9" s="88"/>
      <c r="Q9" s="88"/>
      <c r="R9" s="88"/>
      <c r="S9" s="88"/>
      <c r="T9" s="88"/>
      <c r="U9" s="63"/>
      <c r="V9" s="107"/>
      <c r="W9" s="234"/>
      <c r="X9" s="235"/>
      <c r="Y9" s="235"/>
      <c r="Z9" s="235"/>
      <c r="AA9" s="235"/>
      <c r="AB9" s="235"/>
      <c r="AC9" s="235"/>
      <c r="AD9" s="235"/>
      <c r="AE9" s="236"/>
      <c r="AF9" s="46"/>
      <c r="AG9" s="237"/>
      <c r="AH9" s="238"/>
      <c r="AI9" s="238"/>
      <c r="AJ9" s="238"/>
      <c r="AK9" s="238"/>
      <c r="AL9" s="238"/>
      <c r="AM9" s="238"/>
      <c r="AN9" s="238"/>
      <c r="AO9" s="239"/>
    </row>
    <row r="10" spans="3:65" ht="16" customHeight="1">
      <c r="C10" s="209"/>
      <c r="D10" s="210"/>
      <c r="E10" s="210"/>
      <c r="F10" s="210"/>
      <c r="G10" s="211"/>
      <c r="H10" s="99"/>
      <c r="I10" s="99"/>
      <c r="J10" s="99"/>
      <c r="K10" s="11"/>
      <c r="L10" s="193" t="s">
        <v>53</v>
      </c>
      <c r="M10" s="194"/>
      <c r="N10" s="120" t="s">
        <v>41</v>
      </c>
      <c r="O10" s="121" t="s">
        <v>11</v>
      </c>
      <c r="P10" s="122">
        <f>'Std Curve'!D19</f>
        <v>1.0245333333333331</v>
      </c>
      <c r="Q10" s="122"/>
      <c r="R10" s="122"/>
      <c r="S10" s="122"/>
      <c r="T10" s="200"/>
      <c r="U10" s="201"/>
      <c r="V10" s="108"/>
      <c r="W10" s="221" t="s">
        <v>48</v>
      </c>
      <c r="X10" s="222"/>
      <c r="Y10" s="222"/>
      <c r="Z10" s="222"/>
      <c r="AA10" s="222"/>
      <c r="AB10" s="222"/>
      <c r="AC10" s="222"/>
      <c r="AD10" s="222"/>
      <c r="AE10" s="192"/>
      <c r="AF10" s="198"/>
      <c r="AG10" s="221" t="s">
        <v>45</v>
      </c>
      <c r="AH10" s="222"/>
      <c r="AI10" s="222"/>
      <c r="AJ10" s="222"/>
      <c r="AK10" s="222"/>
      <c r="AL10" s="222"/>
      <c r="AM10" s="222"/>
      <c r="AN10" s="222"/>
      <c r="AO10" s="192"/>
    </row>
    <row r="11" spans="3:65" ht="16" customHeight="1">
      <c r="C11" s="209"/>
      <c r="D11" s="210"/>
      <c r="E11" s="210"/>
      <c r="F11" s="210"/>
      <c r="G11" s="211"/>
      <c r="H11" s="99"/>
      <c r="I11" s="99"/>
      <c r="J11" s="99"/>
      <c r="K11" s="11"/>
      <c r="L11" s="193"/>
      <c r="M11" s="194"/>
      <c r="N11" s="123" t="s">
        <v>42</v>
      </c>
      <c r="O11" s="48" t="s">
        <v>13</v>
      </c>
      <c r="P11" s="47">
        <f>'Std Curve'!D20</f>
        <v>0.19706666666666672</v>
      </c>
      <c r="Q11" s="47"/>
      <c r="R11" s="47"/>
      <c r="S11" s="47"/>
      <c r="T11" s="202"/>
      <c r="U11" s="203"/>
      <c r="V11" s="108"/>
      <c r="W11" s="193"/>
      <c r="X11" s="197"/>
      <c r="Y11" s="197"/>
      <c r="Z11" s="197"/>
      <c r="AA11" s="197"/>
      <c r="AB11" s="197"/>
      <c r="AC11" s="197"/>
      <c r="AD11" s="197"/>
      <c r="AE11" s="194"/>
      <c r="AF11" s="198"/>
      <c r="AG11" s="193"/>
      <c r="AH11" s="197"/>
      <c r="AI11" s="197"/>
      <c r="AJ11" s="197"/>
      <c r="AK11" s="197"/>
      <c r="AL11" s="197"/>
      <c r="AM11" s="197"/>
      <c r="AN11" s="197"/>
      <c r="AO11" s="194"/>
    </row>
    <row r="12" spans="3:65" ht="32" customHeight="1">
      <c r="C12" s="212"/>
      <c r="D12" s="213"/>
      <c r="E12" s="213"/>
      <c r="F12" s="213"/>
      <c r="G12" s="214"/>
      <c r="H12" s="99"/>
      <c r="I12" s="99"/>
      <c r="J12" s="99"/>
      <c r="K12" s="11"/>
      <c r="L12" s="195"/>
      <c r="M12" s="196"/>
      <c r="N12" s="124"/>
      <c r="O12" s="125"/>
      <c r="P12" s="125"/>
      <c r="Q12" s="125"/>
      <c r="R12" s="125"/>
      <c r="S12" s="125"/>
      <c r="T12" s="204"/>
      <c r="U12" s="205"/>
      <c r="V12" s="108"/>
      <c r="W12" s="195"/>
      <c r="X12" s="233"/>
      <c r="Y12" s="233"/>
      <c r="Z12" s="233"/>
      <c r="AA12" s="233"/>
      <c r="AB12" s="233"/>
      <c r="AC12" s="233"/>
      <c r="AD12" s="233"/>
      <c r="AE12" s="196"/>
      <c r="AF12" s="198"/>
      <c r="AG12" s="195"/>
      <c r="AH12" s="233"/>
      <c r="AI12" s="233"/>
      <c r="AJ12" s="233"/>
      <c r="AK12" s="233"/>
      <c r="AL12" s="233"/>
      <c r="AM12" s="233"/>
      <c r="AN12" s="233"/>
      <c r="AO12" s="196"/>
      <c r="AQ12" s="15"/>
      <c r="AR12" s="15"/>
      <c r="AS12" s="15"/>
      <c r="AT12" s="15"/>
      <c r="AU12" s="226"/>
      <c r="AV12" s="227"/>
      <c r="AW12" s="227"/>
      <c r="AX12" s="227"/>
      <c r="AY12" s="227"/>
      <c r="AZ12" s="227"/>
      <c r="BA12" s="227"/>
      <c r="BB12" s="227"/>
      <c r="BC12" s="227"/>
      <c r="BD12" s="227"/>
      <c r="BE12" s="15"/>
      <c r="BF12" s="15"/>
      <c r="BG12" s="15"/>
      <c r="BH12" s="15"/>
      <c r="BI12" s="15"/>
      <c r="BJ12" s="15"/>
      <c r="BK12" s="15"/>
      <c r="BL12" s="15"/>
      <c r="BM12" s="15"/>
    </row>
    <row r="13" spans="3:65" s="68" customFormat="1" ht="16" customHeight="1">
      <c r="C13" s="228">
        <v>0</v>
      </c>
      <c r="D13" s="53"/>
      <c r="E13" s="64">
        <v>1</v>
      </c>
      <c r="F13" s="64">
        <v>2</v>
      </c>
      <c r="G13" s="65">
        <v>3</v>
      </c>
      <c r="H13" s="56">
        <v>4</v>
      </c>
      <c r="I13" s="56">
        <v>5</v>
      </c>
      <c r="J13" s="57">
        <v>6</v>
      </c>
      <c r="K13" s="49"/>
      <c r="L13" s="199">
        <v>0</v>
      </c>
      <c r="M13" s="38"/>
      <c r="N13" s="59">
        <v>1</v>
      </c>
      <c r="O13" s="38">
        <v>2</v>
      </c>
      <c r="P13" s="38">
        <v>3</v>
      </c>
      <c r="Q13" s="38">
        <v>4</v>
      </c>
      <c r="R13" s="38">
        <v>5</v>
      </c>
      <c r="S13" s="38">
        <v>6</v>
      </c>
      <c r="T13" s="38" t="s">
        <v>24</v>
      </c>
      <c r="U13" s="51" t="s">
        <v>3</v>
      </c>
      <c r="V13" s="105"/>
      <c r="W13" s="38" t="s">
        <v>34</v>
      </c>
      <c r="X13" s="103">
        <v>1</v>
      </c>
      <c r="Y13" s="103">
        <v>2</v>
      </c>
      <c r="Z13" s="103">
        <v>3</v>
      </c>
      <c r="AA13" s="103">
        <v>4</v>
      </c>
      <c r="AB13" s="103">
        <v>5</v>
      </c>
      <c r="AC13" s="95">
        <v>6</v>
      </c>
      <c r="AD13" s="50" t="s">
        <v>49</v>
      </c>
      <c r="AE13" s="51" t="s">
        <v>3</v>
      </c>
      <c r="AF13" s="69"/>
      <c r="AG13" s="229">
        <v>0</v>
      </c>
      <c r="AH13" s="38" t="s">
        <v>35</v>
      </c>
      <c r="AI13" s="113"/>
      <c r="AJ13" s="113"/>
      <c r="AK13" s="113"/>
      <c r="AL13" s="113"/>
      <c r="AM13" s="113"/>
      <c r="AN13" s="113"/>
      <c r="AO13" s="115" t="s">
        <v>36</v>
      </c>
      <c r="AP13" s="51" t="s">
        <v>3</v>
      </c>
      <c r="AQ13" s="54"/>
      <c r="AR13" s="66"/>
      <c r="AS13" s="66"/>
      <c r="AT13" s="67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</row>
    <row r="14" spans="3:65">
      <c r="C14" s="199"/>
      <c r="D14" s="14" t="s">
        <v>16</v>
      </c>
      <c r="E14" s="15">
        <f>Data!B15</f>
        <v>1.9710000000000001</v>
      </c>
      <c r="F14" s="15">
        <f>Data!C15</f>
        <v>1.97</v>
      </c>
      <c r="G14" s="15">
        <f>Data!D15</f>
        <v>1.9990000000000001</v>
      </c>
      <c r="H14" s="15">
        <f>Data!E15</f>
        <v>1.9710000000000001</v>
      </c>
      <c r="I14" s="15">
        <f>Data!F15</f>
        <v>1.97</v>
      </c>
      <c r="J14" s="15">
        <f>Data!G15</f>
        <v>1.9990000000000001</v>
      </c>
      <c r="K14" s="15"/>
      <c r="L14" s="199"/>
      <c r="M14" s="128" t="s">
        <v>16</v>
      </c>
      <c r="N14" s="12">
        <f>IF(((E14-$P$11)/$P$10)&gt;0,((E14-$P$11)/$P$10)," ")</f>
        <v>1.731454971369079</v>
      </c>
      <c r="O14" s="12">
        <f t="shared" ref="N14:S21" si="0">IF(((F14-$P$11)/$P$10)&gt;0,((F14-$P$11)/$P$10)," ")</f>
        <v>1.7304789172306094</v>
      </c>
      <c r="P14" s="12">
        <f t="shared" si="0"/>
        <v>1.7587844872462264</v>
      </c>
      <c r="Q14" s="15">
        <f t="shared" si="0"/>
        <v>1.731454971369079</v>
      </c>
      <c r="R14" s="15">
        <f t="shared" si="0"/>
        <v>1.7304789172306094</v>
      </c>
      <c r="S14" s="15">
        <f t="shared" si="0"/>
        <v>1.7587844872462264</v>
      </c>
      <c r="T14" s="28">
        <f>IFERROR(AVERAGE(N14:S14),"")</f>
        <v>1.7402394586153047</v>
      </c>
      <c r="U14" s="104">
        <f>IFERROR(STDEV(N14:S14),"")</f>
        <v>1.4371547880769921E-2</v>
      </c>
      <c r="V14" s="109"/>
      <c r="W14" s="81">
        <v>0</v>
      </c>
      <c r="X14" s="28"/>
      <c r="Y14" s="12"/>
      <c r="Z14" s="12"/>
      <c r="AA14" s="12"/>
      <c r="AB14" s="12"/>
      <c r="AC14" s="12"/>
      <c r="AD14" s="28"/>
      <c r="AE14" s="104"/>
      <c r="AG14" s="229"/>
      <c r="AH14" s="76">
        <f>'Sample ID'!$F$6</f>
        <v>1</v>
      </c>
      <c r="AI14" s="77">
        <f>IFERROR((X14*$AH$14),"")</f>
        <v>0</v>
      </c>
      <c r="AJ14" s="77">
        <f t="shared" ref="AJ14:AN14" si="1">IFERROR((Y14*$AH$14),"")</f>
        <v>0</v>
      </c>
      <c r="AK14" s="77">
        <f t="shared" si="1"/>
        <v>0</v>
      </c>
      <c r="AL14" s="77">
        <f t="shared" si="1"/>
        <v>0</v>
      </c>
      <c r="AM14" s="77">
        <f t="shared" si="1"/>
        <v>0</v>
      </c>
      <c r="AN14" s="77">
        <f t="shared" si="1"/>
        <v>0</v>
      </c>
      <c r="AO14" s="40">
        <f t="shared" ref="AO14:AO21" si="2">IFERROR(AD14*AH14,"")</f>
        <v>0</v>
      </c>
      <c r="AP14" s="104"/>
      <c r="AQ14" s="15"/>
      <c r="AR14" s="15"/>
      <c r="AS14" s="15"/>
      <c r="AT14" s="43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15"/>
      <c r="BF14" s="15"/>
      <c r="BG14" s="15"/>
      <c r="BH14" s="15"/>
      <c r="BI14" s="15"/>
      <c r="BJ14" s="15"/>
      <c r="BK14" s="15"/>
      <c r="BL14" s="15"/>
      <c r="BM14" s="15"/>
    </row>
    <row r="15" spans="3:65">
      <c r="C15" s="199"/>
      <c r="D15" s="14" t="s">
        <v>17</v>
      </c>
      <c r="E15" s="15">
        <f>Data!B16</f>
        <v>1.9630000000000001</v>
      </c>
      <c r="F15" s="15">
        <f>Data!C16</f>
        <v>1.96</v>
      </c>
      <c r="G15" s="15">
        <f>Data!D16</f>
        <v>1.972</v>
      </c>
      <c r="H15" s="15">
        <f>Data!E16</f>
        <v>1.9630000000000001</v>
      </c>
      <c r="I15" s="15">
        <f>Data!F16</f>
        <v>1.96</v>
      </c>
      <c r="J15" s="15">
        <f>Data!G16</f>
        <v>1.972</v>
      </c>
      <c r="K15" s="15"/>
      <c r="L15" s="199"/>
      <c r="M15" s="129" t="s">
        <v>17</v>
      </c>
      <c r="N15" s="15">
        <f t="shared" si="0"/>
        <v>1.7236465382613226</v>
      </c>
      <c r="O15" s="15">
        <f t="shared" si="0"/>
        <v>1.7207183758459139</v>
      </c>
      <c r="P15" s="15">
        <f t="shared" si="0"/>
        <v>1.7324310255075486</v>
      </c>
      <c r="Q15" s="15">
        <f t="shared" si="0"/>
        <v>1.7236465382613226</v>
      </c>
      <c r="R15" s="15">
        <f t="shared" si="0"/>
        <v>1.7207183758459139</v>
      </c>
      <c r="S15" s="15">
        <f t="shared" si="0"/>
        <v>1.7324310255075486</v>
      </c>
      <c r="T15" s="20">
        <f>IFERROR(AVERAGE(N15:S15),"")</f>
        <v>1.7255986465382616</v>
      </c>
      <c r="U15" s="40">
        <f>IFERROR(STDEV(N15:S15),"")</f>
        <v>5.451941714121172E-3</v>
      </c>
      <c r="V15" s="109"/>
      <c r="W15" s="82">
        <v>0</v>
      </c>
      <c r="X15" s="20"/>
      <c r="Y15" s="15"/>
      <c r="Z15" s="15"/>
      <c r="AA15" s="15"/>
      <c r="AB15" s="15"/>
      <c r="AC15" s="15"/>
      <c r="AD15" s="20"/>
      <c r="AE15" s="40"/>
      <c r="AG15" s="229"/>
      <c r="AH15" s="77">
        <f>'Sample ID'!$F$7</f>
        <v>1</v>
      </c>
      <c r="AI15" s="77">
        <f>IFERROR((X15*$AH$15),"")</f>
        <v>0</v>
      </c>
      <c r="AJ15" s="77">
        <f t="shared" ref="AJ15:AN15" si="3">IFERROR((Y15*$AH$15),"")</f>
        <v>0</v>
      </c>
      <c r="AK15" s="77">
        <f t="shared" si="3"/>
        <v>0</v>
      </c>
      <c r="AL15" s="77">
        <f t="shared" si="3"/>
        <v>0</v>
      </c>
      <c r="AM15" s="77">
        <f t="shared" si="3"/>
        <v>0</v>
      </c>
      <c r="AN15" s="77">
        <f t="shared" si="3"/>
        <v>0</v>
      </c>
      <c r="AO15" s="40">
        <f t="shared" si="2"/>
        <v>0</v>
      </c>
      <c r="AP15" s="40"/>
      <c r="AQ15" s="15"/>
      <c r="AR15" s="15"/>
      <c r="AS15" s="15"/>
      <c r="AT15" s="43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15"/>
      <c r="BF15" s="15"/>
      <c r="BG15" s="15"/>
      <c r="BH15" s="15"/>
      <c r="BI15" s="15"/>
      <c r="BJ15" s="15"/>
      <c r="BK15" s="15"/>
      <c r="BL15" s="15"/>
      <c r="BM15" s="15"/>
    </row>
    <row r="16" spans="3:65">
      <c r="C16" s="199"/>
      <c r="D16" s="14" t="s">
        <v>18</v>
      </c>
      <c r="E16" s="15">
        <f>Data!B17</f>
        <v>1.9790000000000001</v>
      </c>
      <c r="F16" s="15">
        <f>Data!C17</f>
        <v>2</v>
      </c>
      <c r="G16" s="15">
        <f>Data!D17</f>
        <v>2.0270000000000001</v>
      </c>
      <c r="H16" s="15">
        <f>Data!E17</f>
        <v>1.9790000000000001</v>
      </c>
      <c r="I16" s="15">
        <f>Data!F17</f>
        <v>2</v>
      </c>
      <c r="J16" s="15">
        <f>Data!G17</f>
        <v>2.0270000000000001</v>
      </c>
      <c r="K16" s="15"/>
      <c r="L16" s="199"/>
      <c r="M16" s="129" t="s">
        <v>18</v>
      </c>
      <c r="N16" s="15">
        <f t="shared" si="0"/>
        <v>1.7392634044768354</v>
      </c>
      <c r="O16" s="15">
        <f t="shared" si="0"/>
        <v>1.759760541384696</v>
      </c>
      <c r="P16" s="15">
        <f t="shared" si="0"/>
        <v>1.7861140031233738</v>
      </c>
      <c r="Q16" s="15">
        <f t="shared" si="0"/>
        <v>1.7392634044768354</v>
      </c>
      <c r="R16" s="15">
        <f t="shared" si="0"/>
        <v>1.759760541384696</v>
      </c>
      <c r="S16" s="15">
        <f t="shared" si="0"/>
        <v>1.7861140031233738</v>
      </c>
      <c r="T16" s="20">
        <f t="shared" ref="T16:T48" si="4">IFERROR(AVERAGE(N16:S16),"")</f>
        <v>1.7617126496616349</v>
      </c>
      <c r="U16" s="40">
        <f t="shared" ref="U16:U48" si="5">IFERROR(STDEV(N16:S16),"")</f>
        <v>2.1006716895858368E-2</v>
      </c>
      <c r="V16" s="109"/>
      <c r="W16" s="82">
        <v>0</v>
      </c>
      <c r="X16" s="20"/>
      <c r="Y16" s="15"/>
      <c r="Z16" s="15"/>
      <c r="AA16" s="15"/>
      <c r="AB16" s="15"/>
      <c r="AC16" s="15"/>
      <c r="AD16" s="20"/>
      <c r="AE16" s="40"/>
      <c r="AG16" s="229"/>
      <c r="AH16" s="77">
        <f>'Sample ID'!$F$8</f>
        <v>1</v>
      </c>
      <c r="AI16" s="77">
        <f>IFERROR((X16*$AH$16),"")</f>
        <v>0</v>
      </c>
      <c r="AJ16" s="77">
        <f t="shared" ref="AJ16:AN16" si="6">IFERROR((Y16*$AH$16),"")</f>
        <v>0</v>
      </c>
      <c r="AK16" s="77">
        <f t="shared" si="6"/>
        <v>0</v>
      </c>
      <c r="AL16" s="77">
        <f t="shared" si="6"/>
        <v>0</v>
      </c>
      <c r="AM16" s="77">
        <f t="shared" si="6"/>
        <v>0</v>
      </c>
      <c r="AN16" s="77">
        <f t="shared" si="6"/>
        <v>0</v>
      </c>
      <c r="AO16" s="40">
        <f t="shared" si="2"/>
        <v>0</v>
      </c>
      <c r="AP16" s="40"/>
      <c r="AQ16" s="15"/>
      <c r="AR16" s="15"/>
      <c r="AS16" s="15"/>
      <c r="AT16" s="43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15"/>
      <c r="BF16" s="15"/>
      <c r="BG16" s="15"/>
      <c r="BH16" s="15"/>
      <c r="BI16" s="15"/>
      <c r="BJ16" s="15"/>
      <c r="BK16" s="15"/>
      <c r="BL16" s="15"/>
      <c r="BM16" s="15"/>
    </row>
    <row r="17" spans="3:68">
      <c r="C17" s="199"/>
      <c r="D17" s="14" t="s">
        <v>19</v>
      </c>
      <c r="E17" s="15">
        <f>Data!B18</f>
        <v>2.0499999999999998</v>
      </c>
      <c r="F17" s="15">
        <f>Data!C18</f>
        <v>2.0470000000000002</v>
      </c>
      <c r="G17" s="15">
        <f>Data!D18</f>
        <v>2.0550000000000002</v>
      </c>
      <c r="H17" s="15">
        <f>Data!E18</f>
        <v>2.0499999999999998</v>
      </c>
      <c r="I17" s="15">
        <f>Data!F18</f>
        <v>2.0470000000000002</v>
      </c>
      <c r="J17" s="15">
        <f>Data!G18</f>
        <v>2.0550000000000002</v>
      </c>
      <c r="K17" s="15"/>
      <c r="L17" s="199"/>
      <c r="M17" s="129" t="s">
        <v>19</v>
      </c>
      <c r="N17" s="15">
        <f t="shared" si="0"/>
        <v>1.8085632483081731</v>
      </c>
      <c r="O17" s="15">
        <f t="shared" si="0"/>
        <v>1.8056350858927648</v>
      </c>
      <c r="P17" s="15">
        <f t="shared" si="0"/>
        <v>1.8134435190005211</v>
      </c>
      <c r="Q17" s="15">
        <f t="shared" si="0"/>
        <v>1.8085632483081731</v>
      </c>
      <c r="R17" s="15">
        <f t="shared" si="0"/>
        <v>1.8056350858927648</v>
      </c>
      <c r="S17" s="15">
        <f t="shared" si="0"/>
        <v>1.8134435190005211</v>
      </c>
      <c r="T17" s="20">
        <f t="shared" si="4"/>
        <v>1.809213951067153</v>
      </c>
      <c r="U17" s="40">
        <f t="shared" si="5"/>
        <v>3.5282253284034453E-3</v>
      </c>
      <c r="V17" s="109"/>
      <c r="W17" s="82">
        <v>0</v>
      </c>
      <c r="X17" s="20"/>
      <c r="Y17" s="15"/>
      <c r="Z17" s="15"/>
      <c r="AA17" s="15"/>
      <c r="AB17" s="15"/>
      <c r="AC17" s="15"/>
      <c r="AD17" s="20"/>
      <c r="AE17" s="40"/>
      <c r="AG17" s="229"/>
      <c r="AH17" s="77">
        <f>'Sample ID'!$F$9</f>
        <v>1</v>
      </c>
      <c r="AI17" s="77">
        <f>IFERROR((X17*$AH$17),"")</f>
        <v>0</v>
      </c>
      <c r="AJ17" s="77">
        <f t="shared" ref="AJ17:AN17" si="7">IFERROR((Y17*$AH$17),"")</f>
        <v>0</v>
      </c>
      <c r="AK17" s="77">
        <f t="shared" si="7"/>
        <v>0</v>
      </c>
      <c r="AL17" s="77">
        <f t="shared" si="7"/>
        <v>0</v>
      </c>
      <c r="AM17" s="77">
        <f t="shared" si="7"/>
        <v>0</v>
      </c>
      <c r="AN17" s="77">
        <f t="shared" si="7"/>
        <v>0</v>
      </c>
      <c r="AO17" s="40">
        <f t="shared" si="2"/>
        <v>0</v>
      </c>
      <c r="AP17" s="40"/>
      <c r="AQ17" s="15"/>
      <c r="AR17" s="15"/>
      <c r="AS17" s="15"/>
      <c r="AT17" s="43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15"/>
      <c r="BF17" s="15"/>
      <c r="BG17" s="15"/>
      <c r="BH17" s="15"/>
      <c r="BI17" s="15"/>
      <c r="BJ17" s="15"/>
      <c r="BK17" s="15"/>
      <c r="BL17" s="15"/>
      <c r="BM17" s="15"/>
    </row>
    <row r="18" spans="3:68">
      <c r="C18" s="199"/>
      <c r="D18" s="14" t="s">
        <v>20</v>
      </c>
      <c r="E18" s="15">
        <f>Data!B19</f>
        <v>2.0910000000000002</v>
      </c>
      <c r="F18" s="15">
        <f>Data!C19</f>
        <v>2.0670000000000002</v>
      </c>
      <c r="G18" s="15">
        <f>Data!D19</f>
        <v>2.089</v>
      </c>
      <c r="H18" s="15">
        <f>Data!E19</f>
        <v>2.0910000000000002</v>
      </c>
      <c r="I18" s="15">
        <f>Data!F19</f>
        <v>2.0670000000000002</v>
      </c>
      <c r="J18" s="15">
        <f>Data!G19</f>
        <v>2.089</v>
      </c>
      <c r="K18" s="15"/>
      <c r="L18" s="199"/>
      <c r="M18" s="129" t="s">
        <v>20</v>
      </c>
      <c r="N18" s="15">
        <f t="shared" si="0"/>
        <v>1.8485814679854249</v>
      </c>
      <c r="O18" s="15">
        <f t="shared" si="0"/>
        <v>1.8251561686621558</v>
      </c>
      <c r="P18" s="15">
        <f t="shared" si="0"/>
        <v>1.8466293597084855</v>
      </c>
      <c r="Q18" s="15">
        <f t="shared" si="0"/>
        <v>1.8485814679854249</v>
      </c>
      <c r="R18" s="15">
        <f t="shared" si="0"/>
        <v>1.8251561686621558</v>
      </c>
      <c r="S18" s="15">
        <f t="shared" si="0"/>
        <v>1.8466293597084855</v>
      </c>
      <c r="T18" s="20">
        <f t="shared" si="4"/>
        <v>1.8401223321186888</v>
      </c>
      <c r="U18" s="40">
        <f t="shared" si="5"/>
        <v>1.1625565556547181E-2</v>
      </c>
      <c r="V18" s="109"/>
      <c r="W18" s="82">
        <v>0</v>
      </c>
      <c r="X18" s="20"/>
      <c r="Y18" s="15"/>
      <c r="Z18" s="15"/>
      <c r="AA18" s="15"/>
      <c r="AB18" s="15"/>
      <c r="AC18" s="15"/>
      <c r="AD18" s="20"/>
      <c r="AE18" s="40"/>
      <c r="AG18" s="229"/>
      <c r="AH18" s="77">
        <f>'Sample ID'!$F$10</f>
        <v>1</v>
      </c>
      <c r="AI18" s="77">
        <f>IFERROR((X18*$AH$18),"")</f>
        <v>0</v>
      </c>
      <c r="AJ18" s="77">
        <f t="shared" ref="AJ18:AN18" si="8">IFERROR((Y18*$AH$18),"")</f>
        <v>0</v>
      </c>
      <c r="AK18" s="77">
        <f t="shared" si="8"/>
        <v>0</v>
      </c>
      <c r="AL18" s="77">
        <f t="shared" si="8"/>
        <v>0</v>
      </c>
      <c r="AM18" s="77">
        <f t="shared" si="8"/>
        <v>0</v>
      </c>
      <c r="AN18" s="77">
        <f t="shared" si="8"/>
        <v>0</v>
      </c>
      <c r="AO18" s="40">
        <f t="shared" si="2"/>
        <v>0</v>
      </c>
      <c r="AP18" s="40"/>
      <c r="AQ18" s="15"/>
      <c r="AR18" s="15"/>
      <c r="AS18" s="15"/>
      <c r="AT18" s="43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15"/>
      <c r="BF18" s="15"/>
      <c r="BG18" s="15"/>
      <c r="BH18" s="15"/>
      <c r="BI18" s="15"/>
      <c r="BJ18" s="15"/>
      <c r="BK18" s="15"/>
      <c r="BL18" s="15"/>
      <c r="BM18" s="15"/>
    </row>
    <row r="19" spans="3:68">
      <c r="C19" s="199"/>
      <c r="D19" s="14" t="s">
        <v>21</v>
      </c>
      <c r="E19" s="15">
        <f>Data!B20</f>
        <v>1.897</v>
      </c>
      <c r="F19" s="15">
        <f>Data!C20</f>
        <v>1.9339999999999999</v>
      </c>
      <c r="G19" s="15">
        <f>Data!D20</f>
        <v>1.895</v>
      </c>
      <c r="H19" s="15">
        <f>Data!E20</f>
        <v>1.897</v>
      </c>
      <c r="I19" s="15">
        <f>Data!F20</f>
        <v>1.9339999999999999</v>
      </c>
      <c r="J19" s="15">
        <f>Data!G20</f>
        <v>1.895</v>
      </c>
      <c r="K19" s="15"/>
      <c r="L19" s="199"/>
      <c r="M19" s="129" t="s">
        <v>21</v>
      </c>
      <c r="N19" s="15">
        <f t="shared" si="0"/>
        <v>1.6592269651223326</v>
      </c>
      <c r="O19" s="15">
        <f t="shared" si="0"/>
        <v>1.6953409682457057</v>
      </c>
      <c r="P19" s="15">
        <f t="shared" si="0"/>
        <v>1.6572748568453934</v>
      </c>
      <c r="Q19" s="15">
        <f t="shared" si="0"/>
        <v>1.6592269651223326</v>
      </c>
      <c r="R19" s="15">
        <f t="shared" si="0"/>
        <v>1.6953409682457057</v>
      </c>
      <c r="S19" s="15">
        <f t="shared" si="0"/>
        <v>1.6572748568453934</v>
      </c>
      <c r="T19" s="20">
        <f t="shared" si="4"/>
        <v>1.6706142634044774</v>
      </c>
      <c r="U19" s="40">
        <f t="shared" si="5"/>
        <v>1.9173108895745548E-2</v>
      </c>
      <c r="V19" s="109"/>
      <c r="W19" s="82">
        <v>0</v>
      </c>
      <c r="X19" s="20"/>
      <c r="Y19" s="15"/>
      <c r="Z19" s="15"/>
      <c r="AA19" s="15"/>
      <c r="AB19" s="15"/>
      <c r="AC19" s="15"/>
      <c r="AD19" s="20"/>
      <c r="AE19" s="40"/>
      <c r="AG19" s="229"/>
      <c r="AH19" s="77">
        <f>'Sample ID'!$F$11</f>
        <v>0</v>
      </c>
      <c r="AI19" s="77">
        <f>IFERROR((X19*$AH$19),"")</f>
        <v>0</v>
      </c>
      <c r="AJ19" s="77">
        <f t="shared" ref="AJ19:AN19" si="9">IFERROR((Y19*$AH$19),"")</f>
        <v>0</v>
      </c>
      <c r="AK19" s="77">
        <f t="shared" si="9"/>
        <v>0</v>
      </c>
      <c r="AL19" s="77">
        <f t="shared" si="9"/>
        <v>0</v>
      </c>
      <c r="AM19" s="77">
        <f t="shared" si="9"/>
        <v>0</v>
      </c>
      <c r="AN19" s="77">
        <f t="shared" si="9"/>
        <v>0</v>
      </c>
      <c r="AO19" s="40">
        <f t="shared" si="2"/>
        <v>0</v>
      </c>
      <c r="AP19" s="40"/>
      <c r="AQ19" s="15"/>
      <c r="AR19" s="15"/>
      <c r="AS19" s="15"/>
      <c r="AT19" s="43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15"/>
      <c r="BF19" s="15"/>
      <c r="BG19" s="15"/>
      <c r="BH19" s="15"/>
      <c r="BI19" s="15"/>
      <c r="BJ19" s="15"/>
      <c r="BK19" s="15"/>
      <c r="BL19" s="15"/>
      <c r="BM19" s="15"/>
    </row>
    <row r="20" spans="3:68">
      <c r="C20" s="199"/>
      <c r="D20" s="14" t="s">
        <v>22</v>
      </c>
      <c r="E20" s="15">
        <f>Data!B21</f>
        <v>1.907</v>
      </c>
      <c r="F20" s="15">
        <f>Data!C21</f>
        <v>1.9019999999999999</v>
      </c>
      <c r="G20" s="15">
        <f>Data!D21</f>
        <v>1.9139999999999999</v>
      </c>
      <c r="H20" s="15">
        <f>Data!E21</f>
        <v>1.907</v>
      </c>
      <c r="I20" s="15">
        <f>Data!F21</f>
        <v>1.9019999999999999</v>
      </c>
      <c r="J20" s="15">
        <f>Data!G21</f>
        <v>1.9139999999999999</v>
      </c>
      <c r="K20" s="15"/>
      <c r="L20" s="199"/>
      <c r="M20" s="129" t="s">
        <v>22</v>
      </c>
      <c r="N20" s="15">
        <f t="shared" si="0"/>
        <v>1.6689875065070281</v>
      </c>
      <c r="O20" s="15">
        <f t="shared" si="0"/>
        <v>1.6641072358146802</v>
      </c>
      <c r="P20" s="15">
        <f t="shared" si="0"/>
        <v>1.6758198854763147</v>
      </c>
      <c r="Q20" s="15">
        <f t="shared" si="0"/>
        <v>1.6689875065070281</v>
      </c>
      <c r="R20" s="15">
        <f t="shared" si="0"/>
        <v>1.6641072358146802</v>
      </c>
      <c r="S20" s="15">
        <f t="shared" si="0"/>
        <v>1.6758198854763147</v>
      </c>
      <c r="T20" s="20">
        <f t="shared" si="4"/>
        <v>1.6696382092660074</v>
      </c>
      <c r="U20" s="40">
        <f t="shared" si="5"/>
        <v>5.2622505515761229E-3</v>
      </c>
      <c r="V20" s="109"/>
      <c r="W20" s="82">
        <v>0</v>
      </c>
      <c r="X20" s="20"/>
      <c r="Y20" s="15"/>
      <c r="Z20" s="15"/>
      <c r="AA20" s="15"/>
      <c r="AB20" s="15"/>
      <c r="AC20" s="15"/>
      <c r="AD20" s="20"/>
      <c r="AE20" s="40"/>
      <c r="AG20" s="229"/>
      <c r="AH20" s="77">
        <f>'Sample ID'!$F$12</f>
        <v>0</v>
      </c>
      <c r="AI20" s="77">
        <f>IFERROR((X20*$AH$20),"")</f>
        <v>0</v>
      </c>
      <c r="AJ20" s="77">
        <f t="shared" ref="AJ20:AN20" si="10">IFERROR((Y20*$AH$20),"")</f>
        <v>0</v>
      </c>
      <c r="AK20" s="77">
        <f t="shared" si="10"/>
        <v>0</v>
      </c>
      <c r="AL20" s="77">
        <f t="shared" si="10"/>
        <v>0</v>
      </c>
      <c r="AM20" s="77">
        <f t="shared" si="10"/>
        <v>0</v>
      </c>
      <c r="AN20" s="77">
        <f t="shared" si="10"/>
        <v>0</v>
      </c>
      <c r="AO20" s="40">
        <f t="shared" si="2"/>
        <v>0</v>
      </c>
      <c r="AP20" s="40"/>
      <c r="AQ20" s="15"/>
      <c r="AR20" s="15"/>
      <c r="AS20" s="15"/>
      <c r="AT20" s="43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15"/>
      <c r="BF20" s="15"/>
      <c r="BG20" s="15"/>
      <c r="BH20" s="15"/>
      <c r="BI20" s="15"/>
      <c r="BJ20" s="15"/>
      <c r="BK20" s="15"/>
      <c r="BL20" s="15"/>
      <c r="BM20" s="15"/>
    </row>
    <row r="21" spans="3:68">
      <c r="C21" s="199"/>
      <c r="D21" s="14" t="s">
        <v>23</v>
      </c>
      <c r="E21" s="15">
        <f>Data!B22</f>
        <v>0</v>
      </c>
      <c r="F21" s="15">
        <f>Data!C22</f>
        <v>0</v>
      </c>
      <c r="G21" s="15">
        <f>Data!D22</f>
        <v>0</v>
      </c>
      <c r="H21" s="15">
        <f>Data!E22</f>
        <v>0</v>
      </c>
      <c r="I21" s="15">
        <f>Data!F22</f>
        <v>0</v>
      </c>
      <c r="J21" s="15">
        <f>Data!G22</f>
        <v>0</v>
      </c>
      <c r="K21" s="15"/>
      <c r="L21" s="199"/>
      <c r="M21" s="129" t="s">
        <v>23</v>
      </c>
      <c r="N21" s="15" t="str">
        <f t="shared" si="0"/>
        <v xml:space="preserve"> </v>
      </c>
      <c r="O21" s="15" t="str">
        <f t="shared" si="0"/>
        <v xml:space="preserve"> </v>
      </c>
      <c r="P21" s="15" t="str">
        <f t="shared" si="0"/>
        <v xml:space="preserve"> </v>
      </c>
      <c r="Q21" s="15" t="str">
        <f t="shared" si="0"/>
        <v xml:space="preserve"> </v>
      </c>
      <c r="R21" s="15" t="str">
        <f t="shared" si="0"/>
        <v xml:space="preserve"> </v>
      </c>
      <c r="S21" s="15" t="str">
        <f t="shared" si="0"/>
        <v xml:space="preserve"> </v>
      </c>
      <c r="T21" s="20" t="str">
        <f t="shared" si="4"/>
        <v/>
      </c>
      <c r="U21" s="40" t="str">
        <f t="shared" si="5"/>
        <v/>
      </c>
      <c r="V21" s="109"/>
      <c r="W21" s="82">
        <v>0</v>
      </c>
      <c r="X21" s="29"/>
      <c r="Y21" s="17"/>
      <c r="Z21" s="17"/>
      <c r="AA21" s="17"/>
      <c r="AB21" s="17"/>
      <c r="AC21" s="17"/>
      <c r="AD21" s="20"/>
      <c r="AE21" s="40"/>
      <c r="AG21" s="229"/>
      <c r="AH21" s="77">
        <f>'Sample ID'!$F$13</f>
        <v>0</v>
      </c>
      <c r="AI21" s="77">
        <f>IFERROR((X21*$AH$21),"")</f>
        <v>0</v>
      </c>
      <c r="AJ21" s="77">
        <f t="shared" ref="AJ21:AN21" si="11">IFERROR((Y21*$AH$21),"")</f>
        <v>0</v>
      </c>
      <c r="AK21" s="77">
        <f t="shared" si="11"/>
        <v>0</v>
      </c>
      <c r="AL21" s="77">
        <f t="shared" si="11"/>
        <v>0</v>
      </c>
      <c r="AM21" s="77">
        <f t="shared" si="11"/>
        <v>0</v>
      </c>
      <c r="AN21" s="77">
        <f t="shared" si="11"/>
        <v>0</v>
      </c>
      <c r="AO21" s="40">
        <f t="shared" si="2"/>
        <v>0</v>
      </c>
      <c r="AP21" s="40"/>
      <c r="AQ21" s="15"/>
      <c r="AR21" s="15"/>
      <c r="AS21" s="15"/>
      <c r="AT21" s="43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15"/>
      <c r="BF21" s="15"/>
      <c r="BG21" s="15"/>
      <c r="BH21" s="15"/>
      <c r="BI21" s="15"/>
      <c r="BJ21" s="15"/>
      <c r="BK21" s="15"/>
      <c r="BL21" s="15"/>
      <c r="BM21" s="15"/>
    </row>
    <row r="22" spans="3:68">
      <c r="C22" s="199"/>
      <c r="D22" s="39"/>
      <c r="E22" s="56">
        <v>7</v>
      </c>
      <c r="F22" s="56">
        <v>8</v>
      </c>
      <c r="G22" s="57">
        <v>9</v>
      </c>
      <c r="H22" s="56">
        <v>10</v>
      </c>
      <c r="I22" s="56">
        <v>11</v>
      </c>
      <c r="J22" s="57">
        <v>12</v>
      </c>
      <c r="K22" s="19"/>
      <c r="L22" s="199"/>
      <c r="M22" s="38"/>
      <c r="N22" s="59">
        <v>7</v>
      </c>
      <c r="O22" s="38">
        <v>8</v>
      </c>
      <c r="P22" s="38">
        <v>9</v>
      </c>
      <c r="Q22" s="38">
        <v>10</v>
      </c>
      <c r="R22" s="38">
        <v>11</v>
      </c>
      <c r="S22" s="50">
        <v>12</v>
      </c>
      <c r="T22" s="38" t="s">
        <v>24</v>
      </c>
      <c r="U22" s="51" t="s">
        <v>3</v>
      </c>
      <c r="V22" s="109"/>
      <c r="W22" s="98"/>
      <c r="X22" s="114">
        <v>7</v>
      </c>
      <c r="Y22" s="114">
        <v>8</v>
      </c>
      <c r="Z22" s="114">
        <v>9</v>
      </c>
      <c r="AA22" s="114">
        <v>10</v>
      </c>
      <c r="AB22" s="114">
        <v>11</v>
      </c>
      <c r="AC22" s="96">
        <v>12</v>
      </c>
      <c r="AD22" s="50" t="s">
        <v>49</v>
      </c>
      <c r="AE22" s="51" t="s">
        <v>3</v>
      </c>
      <c r="AG22" s="229"/>
      <c r="AH22" s="119"/>
      <c r="AI22" s="119"/>
      <c r="AJ22" s="119"/>
      <c r="AK22" s="119"/>
      <c r="AL22" s="119"/>
      <c r="AM22" s="119"/>
      <c r="AN22" s="119"/>
      <c r="AO22" s="100"/>
      <c r="AP22" s="51" t="s">
        <v>3</v>
      </c>
      <c r="AQ22" s="15"/>
      <c r="AR22" s="15"/>
      <c r="AS22" s="15"/>
      <c r="AT22" s="43"/>
      <c r="AU22" s="41"/>
      <c r="AV22" s="41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</row>
    <row r="23" spans="3:68">
      <c r="C23" s="199"/>
      <c r="D23" s="14" t="s">
        <v>16</v>
      </c>
      <c r="E23" s="15">
        <f>Data!H15</f>
        <v>0</v>
      </c>
      <c r="F23" s="15">
        <f>Data!I15</f>
        <v>0</v>
      </c>
      <c r="G23" s="15">
        <f>Data!J15</f>
        <v>0</v>
      </c>
      <c r="H23" s="15">
        <f>Data!K15</f>
        <v>0</v>
      </c>
      <c r="I23" s="15">
        <f>Data!L15</f>
        <v>0</v>
      </c>
      <c r="J23" s="15">
        <f>Data!M15</f>
        <v>0</v>
      </c>
      <c r="K23" s="15"/>
      <c r="L23" s="199"/>
      <c r="M23" s="129" t="s">
        <v>16</v>
      </c>
      <c r="N23" s="15" t="str">
        <f>IF(((E23-$P$11)/$P$10)&gt;0,((E23-$P$11)/$P$10)," ")</f>
        <v xml:space="preserve"> </v>
      </c>
      <c r="O23" s="15" t="str">
        <f t="shared" ref="N23:S30" si="12">IF(((F23-$P$11)/$P$10)&gt;0,((F23-$P$11)/$P$10)," ")</f>
        <v xml:space="preserve"> </v>
      </c>
      <c r="P23" s="15" t="str">
        <f t="shared" si="12"/>
        <v xml:space="preserve"> </v>
      </c>
      <c r="Q23" s="15" t="str">
        <f t="shared" si="12"/>
        <v xml:space="preserve"> </v>
      </c>
      <c r="R23" s="15" t="str">
        <f t="shared" si="12"/>
        <v xml:space="preserve"> </v>
      </c>
      <c r="S23" s="15" t="str">
        <f t="shared" si="12"/>
        <v xml:space="preserve"> </v>
      </c>
      <c r="T23" s="20" t="str">
        <f t="shared" si="4"/>
        <v/>
      </c>
      <c r="U23" s="40" t="str">
        <f t="shared" si="5"/>
        <v/>
      </c>
      <c r="V23" s="109"/>
      <c r="W23" s="82">
        <v>0</v>
      </c>
      <c r="X23" s="28"/>
      <c r="Y23" s="12"/>
      <c r="Z23" s="12"/>
      <c r="AA23" s="12"/>
      <c r="AB23" s="12"/>
      <c r="AC23" s="12"/>
      <c r="AD23" s="20"/>
      <c r="AE23" s="40"/>
      <c r="AG23" s="229"/>
      <c r="AH23" s="77">
        <f>'Sample ID'!$F$14</f>
        <v>0</v>
      </c>
      <c r="AI23" s="77">
        <f>IFERROR((X23*$AH$23),"")</f>
        <v>0</v>
      </c>
      <c r="AJ23" s="77">
        <f t="shared" ref="AJ23:AN23" si="13">IFERROR((Y23*$AH$23),"")</f>
        <v>0</v>
      </c>
      <c r="AK23" s="77">
        <f t="shared" si="13"/>
        <v>0</v>
      </c>
      <c r="AL23" s="77">
        <f t="shared" si="13"/>
        <v>0</v>
      </c>
      <c r="AM23" s="77">
        <f t="shared" si="13"/>
        <v>0</v>
      </c>
      <c r="AN23" s="77">
        <f t="shared" si="13"/>
        <v>0</v>
      </c>
      <c r="AO23" s="40">
        <f t="shared" ref="AO23:AO30" si="14">IFERROR(AD23*AH23,"")</f>
        <v>0</v>
      </c>
      <c r="AP23" s="40"/>
      <c r="AQ23" s="15"/>
      <c r="AR23" s="15"/>
      <c r="AS23" s="15"/>
      <c r="AT23" s="43"/>
      <c r="AU23" s="41"/>
      <c r="AV23" s="41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</row>
    <row r="24" spans="3:68">
      <c r="C24" s="199"/>
      <c r="D24" s="14" t="s">
        <v>17</v>
      </c>
      <c r="E24" s="15">
        <f>Data!H16</f>
        <v>0</v>
      </c>
      <c r="F24" s="15">
        <f>Data!I16</f>
        <v>0</v>
      </c>
      <c r="G24" s="15">
        <f>Data!J16</f>
        <v>0</v>
      </c>
      <c r="H24" s="15">
        <f>Data!K16</f>
        <v>0</v>
      </c>
      <c r="I24" s="15">
        <f>Data!L16</f>
        <v>0</v>
      </c>
      <c r="J24" s="15">
        <f>Data!M16</f>
        <v>0</v>
      </c>
      <c r="K24" s="15"/>
      <c r="L24" s="199"/>
      <c r="M24" s="129" t="s">
        <v>17</v>
      </c>
      <c r="N24" s="15" t="str">
        <f t="shared" si="12"/>
        <v xml:space="preserve"> </v>
      </c>
      <c r="O24" s="15" t="str">
        <f t="shared" si="12"/>
        <v xml:space="preserve"> </v>
      </c>
      <c r="P24" s="15" t="str">
        <f t="shared" si="12"/>
        <v xml:space="preserve"> </v>
      </c>
      <c r="Q24" s="15" t="str">
        <f t="shared" si="12"/>
        <v xml:space="preserve"> </v>
      </c>
      <c r="R24" s="15" t="str">
        <f t="shared" si="12"/>
        <v xml:space="preserve"> </v>
      </c>
      <c r="S24" s="15" t="str">
        <f t="shared" si="12"/>
        <v xml:space="preserve"> </v>
      </c>
      <c r="T24" s="20" t="str">
        <f t="shared" si="4"/>
        <v/>
      </c>
      <c r="U24" s="40" t="str">
        <f t="shared" si="5"/>
        <v/>
      </c>
      <c r="V24" s="109"/>
      <c r="W24" s="82">
        <v>0</v>
      </c>
      <c r="X24" s="20"/>
      <c r="Y24" s="15"/>
      <c r="Z24" s="15"/>
      <c r="AA24" s="15"/>
      <c r="AB24" s="15"/>
      <c r="AC24" s="15"/>
      <c r="AD24" s="20"/>
      <c r="AE24" s="40"/>
      <c r="AG24" s="229"/>
      <c r="AH24" s="77">
        <f>'Sample ID'!$F$15</f>
        <v>0</v>
      </c>
      <c r="AI24" s="77">
        <f>IFERROR((X24*$AH$24),"")</f>
        <v>0</v>
      </c>
      <c r="AJ24" s="77">
        <f t="shared" ref="AJ24:AN24" si="15">IFERROR((Y24*$AH$24),"")</f>
        <v>0</v>
      </c>
      <c r="AK24" s="77">
        <f t="shared" si="15"/>
        <v>0</v>
      </c>
      <c r="AL24" s="77">
        <f t="shared" si="15"/>
        <v>0</v>
      </c>
      <c r="AM24" s="77">
        <f t="shared" si="15"/>
        <v>0</v>
      </c>
      <c r="AN24" s="77">
        <f t="shared" si="15"/>
        <v>0</v>
      </c>
      <c r="AO24" s="40">
        <f t="shared" si="14"/>
        <v>0</v>
      </c>
      <c r="AP24" s="40"/>
      <c r="AQ24" s="15"/>
      <c r="AR24" s="15"/>
      <c r="AS24" s="15"/>
      <c r="AT24" s="43"/>
      <c r="AU24" s="41"/>
      <c r="AV24" s="41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</row>
    <row r="25" spans="3:68">
      <c r="C25" s="199"/>
      <c r="D25" s="14" t="s">
        <v>18</v>
      </c>
      <c r="E25" s="15">
        <f>Data!H17</f>
        <v>0</v>
      </c>
      <c r="F25" s="15">
        <f>Data!I17</f>
        <v>0</v>
      </c>
      <c r="G25" s="15">
        <f>Data!J17</f>
        <v>0</v>
      </c>
      <c r="H25" s="15">
        <f>Data!K17</f>
        <v>0</v>
      </c>
      <c r="I25" s="15">
        <f>Data!L17</f>
        <v>0</v>
      </c>
      <c r="J25" s="15">
        <f>Data!M17</f>
        <v>0</v>
      </c>
      <c r="K25" s="15"/>
      <c r="L25" s="199"/>
      <c r="M25" s="129" t="s">
        <v>18</v>
      </c>
      <c r="N25" s="15" t="str">
        <f t="shared" si="12"/>
        <v xml:space="preserve"> </v>
      </c>
      <c r="O25" s="15" t="str">
        <f t="shared" si="12"/>
        <v xml:space="preserve"> </v>
      </c>
      <c r="P25" s="15" t="str">
        <f t="shared" si="12"/>
        <v xml:space="preserve"> </v>
      </c>
      <c r="Q25" s="15" t="str">
        <f t="shared" si="12"/>
        <v xml:space="preserve"> </v>
      </c>
      <c r="R25" s="15" t="str">
        <f t="shared" si="12"/>
        <v xml:space="preserve"> </v>
      </c>
      <c r="S25" s="15" t="str">
        <f t="shared" si="12"/>
        <v xml:space="preserve"> </v>
      </c>
      <c r="T25" s="20" t="str">
        <f t="shared" si="4"/>
        <v/>
      </c>
      <c r="U25" s="40" t="str">
        <f t="shared" si="5"/>
        <v/>
      </c>
      <c r="V25" s="109"/>
      <c r="W25" s="82">
        <v>0</v>
      </c>
      <c r="X25" s="20"/>
      <c r="Y25" s="15"/>
      <c r="Z25" s="15"/>
      <c r="AA25" s="15"/>
      <c r="AB25" s="15"/>
      <c r="AC25" s="15"/>
      <c r="AD25" s="20"/>
      <c r="AE25" s="40"/>
      <c r="AG25" s="229"/>
      <c r="AH25" s="77">
        <f>'Sample ID'!$F$16</f>
        <v>0</v>
      </c>
      <c r="AI25" s="77">
        <f>IFERROR((X25*$AH$25),"")</f>
        <v>0</v>
      </c>
      <c r="AJ25" s="77">
        <f t="shared" ref="AJ25:AN25" si="16">IFERROR((Y25*$AH$25),"")</f>
        <v>0</v>
      </c>
      <c r="AK25" s="77">
        <f t="shared" si="16"/>
        <v>0</v>
      </c>
      <c r="AL25" s="77">
        <f t="shared" si="16"/>
        <v>0</v>
      </c>
      <c r="AM25" s="77">
        <f t="shared" si="16"/>
        <v>0</v>
      </c>
      <c r="AN25" s="77">
        <f t="shared" si="16"/>
        <v>0</v>
      </c>
      <c r="AO25" s="40">
        <f t="shared" si="14"/>
        <v>0</v>
      </c>
      <c r="AP25" s="40"/>
      <c r="AQ25" s="15"/>
      <c r="AR25" s="15"/>
      <c r="AS25" s="15"/>
      <c r="AT25" s="43"/>
      <c r="AU25" s="41"/>
      <c r="AV25" s="41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</row>
    <row r="26" spans="3:68">
      <c r="C26" s="199"/>
      <c r="D26" s="14" t="s">
        <v>19</v>
      </c>
      <c r="E26" s="15">
        <f>Data!H18</f>
        <v>0</v>
      </c>
      <c r="F26" s="15">
        <f>Data!I18</f>
        <v>0</v>
      </c>
      <c r="G26" s="15">
        <f>Data!J18</f>
        <v>0</v>
      </c>
      <c r="H26" s="15">
        <f>Data!K18</f>
        <v>0</v>
      </c>
      <c r="I26" s="15">
        <f>Data!L18</f>
        <v>0</v>
      </c>
      <c r="J26" s="15">
        <f>Data!M18</f>
        <v>0</v>
      </c>
      <c r="K26" s="15"/>
      <c r="L26" s="199"/>
      <c r="M26" s="129" t="s">
        <v>19</v>
      </c>
      <c r="N26" s="15" t="str">
        <f t="shared" si="12"/>
        <v xml:space="preserve"> </v>
      </c>
      <c r="O26" s="15" t="str">
        <f t="shared" si="12"/>
        <v xml:space="preserve"> </v>
      </c>
      <c r="P26" s="15" t="str">
        <f t="shared" si="12"/>
        <v xml:space="preserve"> </v>
      </c>
      <c r="Q26" s="15" t="str">
        <f t="shared" si="12"/>
        <v xml:space="preserve"> </v>
      </c>
      <c r="R26" s="15" t="str">
        <f t="shared" si="12"/>
        <v xml:space="preserve"> </v>
      </c>
      <c r="S26" s="15" t="str">
        <f t="shared" si="12"/>
        <v xml:space="preserve"> </v>
      </c>
      <c r="T26" s="20" t="str">
        <f t="shared" si="4"/>
        <v/>
      </c>
      <c r="U26" s="40" t="str">
        <f t="shared" si="5"/>
        <v/>
      </c>
      <c r="V26" s="109"/>
      <c r="W26" s="82">
        <v>0</v>
      </c>
      <c r="X26" s="20"/>
      <c r="Y26" s="15"/>
      <c r="Z26" s="15"/>
      <c r="AA26" s="15"/>
      <c r="AB26" s="15"/>
      <c r="AC26" s="15"/>
      <c r="AD26" s="20"/>
      <c r="AE26" s="40"/>
      <c r="AG26" s="229"/>
      <c r="AH26" s="77">
        <f>'Sample ID'!$F$17</f>
        <v>0</v>
      </c>
      <c r="AI26" s="77">
        <f>IFERROR((X26*$AH$26),"")</f>
        <v>0</v>
      </c>
      <c r="AJ26" s="77">
        <f t="shared" ref="AJ26:AN26" si="17">IFERROR((Y26*$AH$26),"")</f>
        <v>0</v>
      </c>
      <c r="AK26" s="77">
        <f t="shared" si="17"/>
        <v>0</v>
      </c>
      <c r="AL26" s="77">
        <f t="shared" si="17"/>
        <v>0</v>
      </c>
      <c r="AM26" s="77">
        <f t="shared" si="17"/>
        <v>0</v>
      </c>
      <c r="AN26" s="77">
        <f t="shared" si="17"/>
        <v>0</v>
      </c>
      <c r="AO26" s="40">
        <f t="shared" si="14"/>
        <v>0</v>
      </c>
      <c r="AP26" s="40"/>
      <c r="AQ26" s="15"/>
      <c r="AR26" s="15"/>
      <c r="AS26" s="15"/>
      <c r="AT26" s="43"/>
      <c r="AU26" s="41"/>
      <c r="AV26" s="41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</row>
    <row r="27" spans="3:68">
      <c r="C27" s="199"/>
      <c r="D27" s="14" t="s">
        <v>20</v>
      </c>
      <c r="E27" s="15">
        <f>Data!H19</f>
        <v>0</v>
      </c>
      <c r="F27" s="15">
        <f>Data!I19</f>
        <v>0</v>
      </c>
      <c r="G27" s="15">
        <f>Data!J19</f>
        <v>0</v>
      </c>
      <c r="H27" s="15">
        <f>Data!K19</f>
        <v>0</v>
      </c>
      <c r="I27" s="15">
        <f>Data!L19</f>
        <v>0</v>
      </c>
      <c r="J27" s="15">
        <f>Data!M19</f>
        <v>0</v>
      </c>
      <c r="K27" s="15"/>
      <c r="L27" s="199"/>
      <c r="M27" s="129" t="s">
        <v>20</v>
      </c>
      <c r="N27" s="15" t="str">
        <f t="shared" si="12"/>
        <v xml:space="preserve"> </v>
      </c>
      <c r="O27" s="15" t="str">
        <f t="shared" si="12"/>
        <v xml:space="preserve"> </v>
      </c>
      <c r="P27" s="15" t="str">
        <f t="shared" si="12"/>
        <v xml:space="preserve"> </v>
      </c>
      <c r="Q27" s="15" t="str">
        <f t="shared" si="12"/>
        <v xml:space="preserve"> </v>
      </c>
      <c r="R27" s="15" t="str">
        <f t="shared" si="12"/>
        <v xml:space="preserve"> </v>
      </c>
      <c r="S27" s="15" t="str">
        <f t="shared" si="12"/>
        <v xml:space="preserve"> </v>
      </c>
      <c r="T27" s="20" t="str">
        <f t="shared" si="4"/>
        <v/>
      </c>
      <c r="U27" s="40" t="str">
        <f t="shared" si="5"/>
        <v/>
      </c>
      <c r="V27" s="109"/>
      <c r="W27" s="82">
        <v>0</v>
      </c>
      <c r="X27" s="20"/>
      <c r="Y27" s="15"/>
      <c r="Z27" s="15"/>
      <c r="AA27" s="15"/>
      <c r="AB27" s="15"/>
      <c r="AC27" s="15"/>
      <c r="AD27" s="20"/>
      <c r="AE27" s="40"/>
      <c r="AG27" s="229"/>
      <c r="AH27" s="77">
        <f>'Sample ID'!$F$18</f>
        <v>0</v>
      </c>
      <c r="AI27" s="77">
        <f>IFERROR((X27*$AH$27),"")</f>
        <v>0</v>
      </c>
      <c r="AJ27" s="77">
        <f t="shared" ref="AJ27:AN27" si="18">IFERROR((Y27*$AH$27),"")</f>
        <v>0</v>
      </c>
      <c r="AK27" s="77">
        <f t="shared" si="18"/>
        <v>0</v>
      </c>
      <c r="AL27" s="77">
        <f t="shared" si="18"/>
        <v>0</v>
      </c>
      <c r="AM27" s="77">
        <f t="shared" si="18"/>
        <v>0</v>
      </c>
      <c r="AN27" s="77">
        <f t="shared" si="18"/>
        <v>0</v>
      </c>
      <c r="AO27" s="40">
        <f t="shared" si="14"/>
        <v>0</v>
      </c>
      <c r="AP27" s="40"/>
      <c r="AQ27" s="15"/>
      <c r="AR27" s="15"/>
      <c r="AS27" s="15"/>
      <c r="AT27" s="43"/>
      <c r="AU27" s="41"/>
      <c r="AV27" s="41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pans="3:68">
      <c r="C28" s="199"/>
      <c r="D28" s="14" t="s">
        <v>21</v>
      </c>
      <c r="E28" s="15">
        <f>Data!H20</f>
        <v>0</v>
      </c>
      <c r="F28" s="15">
        <f>Data!I20</f>
        <v>0</v>
      </c>
      <c r="G28" s="15">
        <f>Data!J20</f>
        <v>0</v>
      </c>
      <c r="H28" s="15">
        <f>Data!K20</f>
        <v>0</v>
      </c>
      <c r="I28" s="15">
        <f>Data!L20</f>
        <v>0</v>
      </c>
      <c r="J28" s="15">
        <f>Data!M20</f>
        <v>0</v>
      </c>
      <c r="K28" s="15"/>
      <c r="L28" s="199"/>
      <c r="M28" s="129" t="s">
        <v>21</v>
      </c>
      <c r="N28" s="15" t="str">
        <f t="shared" si="12"/>
        <v xml:space="preserve"> </v>
      </c>
      <c r="O28" s="15" t="str">
        <f t="shared" si="12"/>
        <v xml:space="preserve"> </v>
      </c>
      <c r="P28" s="15" t="str">
        <f t="shared" si="12"/>
        <v xml:space="preserve"> </v>
      </c>
      <c r="Q28" s="15" t="str">
        <f t="shared" si="12"/>
        <v xml:space="preserve"> </v>
      </c>
      <c r="R28" s="15" t="str">
        <f t="shared" si="12"/>
        <v xml:space="preserve"> </v>
      </c>
      <c r="S28" s="15" t="str">
        <f t="shared" si="12"/>
        <v xml:space="preserve"> </v>
      </c>
      <c r="T28" s="20" t="str">
        <f t="shared" si="4"/>
        <v/>
      </c>
      <c r="U28" s="40" t="str">
        <f t="shared" si="5"/>
        <v/>
      </c>
      <c r="V28" s="109"/>
      <c r="W28" s="82">
        <v>0</v>
      </c>
      <c r="X28" s="20"/>
      <c r="Y28" s="15"/>
      <c r="Z28" s="15"/>
      <c r="AA28" s="15"/>
      <c r="AB28" s="15"/>
      <c r="AC28" s="15"/>
      <c r="AD28" s="20"/>
      <c r="AE28" s="40"/>
      <c r="AG28" s="229"/>
      <c r="AH28" s="77">
        <f>'Sample ID'!$F$19</f>
        <v>0</v>
      </c>
      <c r="AI28" s="77">
        <f>IFERROR((X28*$AH$28),"")</f>
        <v>0</v>
      </c>
      <c r="AJ28" s="77">
        <f t="shared" ref="AJ28:AN28" si="19">IFERROR((Y28*$AH$28),"")</f>
        <v>0</v>
      </c>
      <c r="AK28" s="77">
        <f t="shared" si="19"/>
        <v>0</v>
      </c>
      <c r="AL28" s="77">
        <f t="shared" si="19"/>
        <v>0</v>
      </c>
      <c r="AM28" s="77">
        <f t="shared" si="19"/>
        <v>0</v>
      </c>
      <c r="AN28" s="77">
        <f t="shared" si="19"/>
        <v>0</v>
      </c>
      <c r="AO28" s="40">
        <f t="shared" si="14"/>
        <v>0</v>
      </c>
      <c r="AP28" s="40"/>
      <c r="AQ28" s="15"/>
      <c r="AR28" s="15"/>
      <c r="AS28" s="15"/>
      <c r="AT28" s="43"/>
      <c r="AU28" s="41"/>
      <c r="AV28" s="41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pans="3:68">
      <c r="C29" s="199"/>
      <c r="D29" s="14" t="s">
        <v>22</v>
      </c>
      <c r="E29" s="15">
        <f>Data!H21</f>
        <v>0</v>
      </c>
      <c r="F29" s="15">
        <f>Data!I21</f>
        <v>0</v>
      </c>
      <c r="G29" s="15">
        <f>Data!J21</f>
        <v>0</v>
      </c>
      <c r="H29" s="15">
        <f>Data!K21</f>
        <v>0</v>
      </c>
      <c r="I29" s="15">
        <f>Data!L21</f>
        <v>0</v>
      </c>
      <c r="J29" s="15">
        <f>Data!M21</f>
        <v>0</v>
      </c>
      <c r="K29" s="15"/>
      <c r="L29" s="199"/>
      <c r="M29" s="129" t="s">
        <v>22</v>
      </c>
      <c r="N29" s="15" t="str">
        <f t="shared" si="12"/>
        <v xml:space="preserve"> </v>
      </c>
      <c r="O29" s="15" t="str">
        <f t="shared" si="12"/>
        <v xml:space="preserve"> </v>
      </c>
      <c r="P29" s="15" t="str">
        <f t="shared" si="12"/>
        <v xml:space="preserve"> </v>
      </c>
      <c r="Q29" s="15" t="str">
        <f t="shared" si="12"/>
        <v xml:space="preserve"> </v>
      </c>
      <c r="R29" s="15" t="str">
        <f t="shared" si="12"/>
        <v xml:space="preserve"> </v>
      </c>
      <c r="S29" s="15" t="str">
        <f t="shared" si="12"/>
        <v xml:space="preserve"> </v>
      </c>
      <c r="T29" s="20" t="str">
        <f t="shared" si="4"/>
        <v/>
      </c>
      <c r="U29" s="40" t="str">
        <f t="shared" si="5"/>
        <v/>
      </c>
      <c r="V29" s="109"/>
      <c r="W29" s="82">
        <v>0</v>
      </c>
      <c r="X29" s="20"/>
      <c r="Y29" s="15"/>
      <c r="Z29" s="15"/>
      <c r="AA29" s="15"/>
      <c r="AB29" s="15"/>
      <c r="AC29" s="15"/>
      <c r="AD29" s="20"/>
      <c r="AE29" s="40"/>
      <c r="AG29" s="229"/>
      <c r="AH29" s="77">
        <f>'Sample ID'!$F$20</f>
        <v>0</v>
      </c>
      <c r="AI29" s="77">
        <f>IFERROR((X29*$AH$29),"")</f>
        <v>0</v>
      </c>
      <c r="AJ29" s="77">
        <f t="shared" ref="AJ29:AN29" si="20">IFERROR((Y29*$AH$29),"")</f>
        <v>0</v>
      </c>
      <c r="AK29" s="77">
        <f t="shared" si="20"/>
        <v>0</v>
      </c>
      <c r="AL29" s="77">
        <f t="shared" si="20"/>
        <v>0</v>
      </c>
      <c r="AM29" s="77">
        <f t="shared" si="20"/>
        <v>0</v>
      </c>
      <c r="AN29" s="77">
        <f t="shared" si="20"/>
        <v>0</v>
      </c>
      <c r="AO29" s="40">
        <f t="shared" si="14"/>
        <v>0</v>
      </c>
      <c r="AP29" s="40"/>
      <c r="AQ29" s="15"/>
      <c r="AR29" s="15"/>
      <c r="AS29" s="15"/>
      <c r="AT29" s="43"/>
      <c r="AU29" s="41"/>
      <c r="AV29" s="41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pans="3:68">
      <c r="C30" s="199"/>
      <c r="D30" s="14" t="s">
        <v>23</v>
      </c>
      <c r="E30" s="15">
        <f>Data!H22</f>
        <v>0</v>
      </c>
      <c r="F30" s="15">
        <f>Data!I22</f>
        <v>0</v>
      </c>
      <c r="G30" s="15">
        <f>Data!J22</f>
        <v>0</v>
      </c>
      <c r="H30" s="15">
        <f>Data!K22</f>
        <v>0</v>
      </c>
      <c r="I30" s="15">
        <f>Data!L22</f>
        <v>0</v>
      </c>
      <c r="J30" s="15">
        <f>Data!M22</f>
        <v>0</v>
      </c>
      <c r="K30" s="15"/>
      <c r="L30" s="199"/>
      <c r="M30" s="129" t="s">
        <v>23</v>
      </c>
      <c r="N30" s="15" t="str">
        <f t="shared" si="12"/>
        <v xml:space="preserve"> </v>
      </c>
      <c r="O30" s="15" t="str">
        <f t="shared" si="12"/>
        <v xml:space="preserve"> </v>
      </c>
      <c r="P30" s="15" t="str">
        <f t="shared" si="12"/>
        <v xml:space="preserve"> </v>
      </c>
      <c r="Q30" s="15" t="str">
        <f t="shared" si="12"/>
        <v xml:space="preserve"> </v>
      </c>
      <c r="R30" s="15" t="str">
        <f t="shared" si="12"/>
        <v xml:space="preserve"> </v>
      </c>
      <c r="S30" s="15" t="str">
        <f t="shared" si="12"/>
        <v xml:space="preserve"> </v>
      </c>
      <c r="T30" s="20" t="str">
        <f t="shared" si="4"/>
        <v/>
      </c>
      <c r="U30" s="40" t="str">
        <f t="shared" si="5"/>
        <v/>
      </c>
      <c r="V30" s="109"/>
      <c r="W30" s="82">
        <v>0</v>
      </c>
      <c r="X30" s="29"/>
      <c r="Y30" s="17"/>
      <c r="Z30" s="17"/>
      <c r="AA30" s="17"/>
      <c r="AB30" s="17"/>
      <c r="AC30" s="17"/>
      <c r="AD30" s="20"/>
      <c r="AE30" s="40"/>
      <c r="AG30" s="230"/>
      <c r="AH30" s="77">
        <f>'Sample ID'!$F$21</f>
        <v>0</v>
      </c>
      <c r="AI30" s="77">
        <f>IFERROR((X30*$AH$30),"")</f>
        <v>0</v>
      </c>
      <c r="AJ30" s="77">
        <f t="shared" ref="AJ30:AN30" si="21">IFERROR((Y30*$AH$30),"")</f>
        <v>0</v>
      </c>
      <c r="AK30" s="77">
        <f t="shared" si="21"/>
        <v>0</v>
      </c>
      <c r="AL30" s="77">
        <f t="shared" si="21"/>
        <v>0</v>
      </c>
      <c r="AM30" s="77">
        <f t="shared" si="21"/>
        <v>0</v>
      </c>
      <c r="AN30" s="77">
        <f t="shared" si="21"/>
        <v>0</v>
      </c>
      <c r="AO30" s="40">
        <f t="shared" si="14"/>
        <v>0</v>
      </c>
      <c r="AP30" s="40"/>
      <c r="AQ30" s="15"/>
      <c r="AR30" s="15"/>
      <c r="AS30" s="15"/>
      <c r="AT30" s="43"/>
      <c r="AU30" s="41"/>
      <c r="AV30" s="41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pans="3:68">
      <c r="C31" s="199">
        <v>5</v>
      </c>
      <c r="D31" s="50"/>
      <c r="E31" s="58">
        <v>1</v>
      </c>
      <c r="F31" s="58">
        <v>2</v>
      </c>
      <c r="G31" s="59">
        <v>3</v>
      </c>
      <c r="H31" s="56">
        <v>4</v>
      </c>
      <c r="I31" s="56">
        <v>5</v>
      </c>
      <c r="J31" s="57">
        <v>6</v>
      </c>
      <c r="K31" s="19"/>
      <c r="L31" s="199">
        <v>5</v>
      </c>
      <c r="M31" s="38"/>
      <c r="N31" s="59">
        <v>1</v>
      </c>
      <c r="O31" s="38">
        <v>2</v>
      </c>
      <c r="P31" s="38">
        <v>3</v>
      </c>
      <c r="Q31" s="38">
        <v>4</v>
      </c>
      <c r="R31" s="38">
        <v>5</v>
      </c>
      <c r="S31" s="50">
        <v>6</v>
      </c>
      <c r="T31" s="38" t="s">
        <v>24</v>
      </c>
      <c r="U31" s="51" t="s">
        <v>3</v>
      </c>
      <c r="V31" s="109"/>
      <c r="W31" s="38" t="s">
        <v>34</v>
      </c>
      <c r="X31" s="113">
        <v>1</v>
      </c>
      <c r="Y31" s="113">
        <v>2</v>
      </c>
      <c r="Z31" s="113">
        <v>3</v>
      </c>
      <c r="AA31" s="113">
        <v>4</v>
      </c>
      <c r="AB31" s="113">
        <v>5</v>
      </c>
      <c r="AC31" s="53">
        <v>6</v>
      </c>
      <c r="AD31" s="50" t="s">
        <v>49</v>
      </c>
      <c r="AE31" s="51" t="s">
        <v>3</v>
      </c>
      <c r="AF31" s="69"/>
      <c r="AG31" s="231">
        <v>5</v>
      </c>
      <c r="AH31" s="38" t="s">
        <v>35</v>
      </c>
      <c r="AI31" s="38"/>
      <c r="AJ31" s="38"/>
      <c r="AK31" s="38"/>
      <c r="AL31" s="38"/>
      <c r="AM31" s="38"/>
      <c r="AN31" s="38"/>
      <c r="AO31" s="52" t="s">
        <v>36</v>
      </c>
      <c r="AP31" s="51" t="s">
        <v>3</v>
      </c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</row>
    <row r="32" spans="3:68">
      <c r="C32" s="199"/>
      <c r="D32" s="14" t="s">
        <v>16</v>
      </c>
      <c r="E32" s="15">
        <f>Data!B27</f>
        <v>1.9590000000000001</v>
      </c>
      <c r="F32" s="15">
        <f>Data!C27</f>
        <v>1.9550000000000001</v>
      </c>
      <c r="G32" s="15">
        <f>Data!D27</f>
        <v>1.9770000000000001</v>
      </c>
      <c r="H32" s="15">
        <f>Data!E27</f>
        <v>1.9590000000000001</v>
      </c>
      <c r="I32" s="15">
        <f>Data!F27</f>
        <v>1.9550000000000001</v>
      </c>
      <c r="J32" s="15">
        <f>Data!G27</f>
        <v>1.9770000000000001</v>
      </c>
      <c r="K32" s="15"/>
      <c r="L32" s="199"/>
      <c r="M32" s="129" t="s">
        <v>16</v>
      </c>
      <c r="N32" s="15">
        <f t="shared" ref="N32:S39" si="22">IF(((E32-$P$11)/$P$10)&gt;0,((E32-$P$11)/$P$10)," ")</f>
        <v>1.7197423217074446</v>
      </c>
      <c r="O32" s="15">
        <f t="shared" si="22"/>
        <v>1.7158381051535663</v>
      </c>
      <c r="P32" s="15">
        <f t="shared" si="22"/>
        <v>1.7373112961998964</v>
      </c>
      <c r="Q32" s="15">
        <f t="shared" si="22"/>
        <v>1.7197423217074446</v>
      </c>
      <c r="R32" s="15">
        <f t="shared" si="22"/>
        <v>1.7158381051535663</v>
      </c>
      <c r="S32" s="15">
        <f t="shared" si="22"/>
        <v>1.7373112961998964</v>
      </c>
      <c r="T32" s="20">
        <f>IFERROR(AVERAGE(N32:S32),"")</f>
        <v>1.7242972410203024</v>
      </c>
      <c r="U32" s="40">
        <f t="shared" si="5"/>
        <v>1.0230736078622403E-2</v>
      </c>
      <c r="V32" s="109"/>
      <c r="W32" s="82">
        <v>5</v>
      </c>
      <c r="X32" s="20">
        <f>IFERROR(($N$14-N32)/W32,"")</f>
        <v>2.3425299323268866E-3</v>
      </c>
      <c r="Y32" s="15">
        <f>IFERROR(($O$14-O32)/W32,"")</f>
        <v>2.9281624154086304E-3</v>
      </c>
      <c r="Z32" s="15">
        <f>IFERROR(($P$14-P32)/W32,"")</f>
        <v>4.2946382092659881E-3</v>
      </c>
      <c r="AA32" s="15">
        <f>IFERROR(($Q$14-Q32)/W32,"")</f>
        <v>2.3425299323268866E-3</v>
      </c>
      <c r="AB32" s="15">
        <f>IFERROR(($R$14-R32)/W32,"")</f>
        <v>2.9281624154086304E-3</v>
      </c>
      <c r="AC32" s="15">
        <f>IFERROR(($S$14-S32)/W32,"")</f>
        <v>4.2946382092659881E-3</v>
      </c>
      <c r="AD32" s="20">
        <f>IFERROR(AVERAGE(X32:AC32), "")</f>
        <v>3.1884435190005014E-3</v>
      </c>
      <c r="AE32" s="40">
        <f>IFERROR(STDEV(X32:AC32), "")</f>
        <v>8.9598721905562412E-4</v>
      </c>
      <c r="AG32" s="229"/>
      <c r="AH32" s="76">
        <f>'Sample ID'!$F$6</f>
        <v>1</v>
      </c>
      <c r="AI32" s="77">
        <f>IFERROR((X32*$AH$32),"")</f>
        <v>2.3425299323268866E-3</v>
      </c>
      <c r="AJ32" s="77">
        <f t="shared" ref="AJ32:AN32" si="23">IFERROR((Y32*$AH$32),"")</f>
        <v>2.9281624154086304E-3</v>
      </c>
      <c r="AK32" s="77">
        <f t="shared" si="23"/>
        <v>4.2946382092659881E-3</v>
      </c>
      <c r="AL32" s="77">
        <f t="shared" si="23"/>
        <v>2.3425299323268866E-3</v>
      </c>
      <c r="AM32" s="77">
        <f t="shared" si="23"/>
        <v>2.9281624154086304E-3</v>
      </c>
      <c r="AN32" s="77">
        <f t="shared" si="23"/>
        <v>4.2946382092659881E-3</v>
      </c>
      <c r="AO32" s="40">
        <f>IFERROR(AD32*AH32,"")</f>
        <v>3.1884435190005014E-3</v>
      </c>
      <c r="AP32" s="40">
        <f>IFERROR(STDEV(AI32:AN32), "")</f>
        <v>8.9598721905562412E-4</v>
      </c>
      <c r="AQ32" s="15"/>
      <c r="AR32" s="44"/>
      <c r="AS32" s="44"/>
      <c r="AT32" s="45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15"/>
      <c r="BO32" s="15"/>
      <c r="BP32" s="15"/>
    </row>
    <row r="33" spans="3:68">
      <c r="C33" s="199"/>
      <c r="D33" s="14" t="s">
        <v>17</v>
      </c>
      <c r="E33" s="15">
        <f>Data!B28</f>
        <v>1.972</v>
      </c>
      <c r="F33" s="15">
        <f>Data!C28</f>
        <v>1.9830000000000001</v>
      </c>
      <c r="G33" s="15">
        <f>Data!D28</f>
        <v>1.9890000000000001</v>
      </c>
      <c r="H33" s="15">
        <f>Data!E28</f>
        <v>1.972</v>
      </c>
      <c r="I33" s="15">
        <f>Data!F28</f>
        <v>1.9830000000000001</v>
      </c>
      <c r="J33" s="15">
        <f>Data!G28</f>
        <v>1.9890000000000001</v>
      </c>
      <c r="K33" s="15"/>
      <c r="L33" s="199"/>
      <c r="M33" s="129" t="s">
        <v>17</v>
      </c>
      <c r="N33" s="15">
        <f t="shared" si="22"/>
        <v>1.7324310255075486</v>
      </c>
      <c r="O33" s="15">
        <f t="shared" si="22"/>
        <v>1.7431676210307137</v>
      </c>
      <c r="P33" s="15">
        <f t="shared" si="22"/>
        <v>1.7490239458615309</v>
      </c>
      <c r="Q33" s="15">
        <f t="shared" si="22"/>
        <v>1.7324310255075486</v>
      </c>
      <c r="R33" s="15">
        <f t="shared" si="22"/>
        <v>1.7431676210307137</v>
      </c>
      <c r="S33" s="15">
        <f t="shared" si="22"/>
        <v>1.7490239458615309</v>
      </c>
      <c r="T33" s="20">
        <f t="shared" si="4"/>
        <v>1.7415408641332644</v>
      </c>
      <c r="U33" s="40">
        <f t="shared" si="5"/>
        <v>7.5268056954301216E-3</v>
      </c>
      <c r="V33" s="109"/>
      <c r="W33" s="82">
        <v>5</v>
      </c>
      <c r="X33" s="20">
        <f>IFERROR(($N$15-N33)/W33,"")</f>
        <v>-1.7568974492451872E-3</v>
      </c>
      <c r="Y33" s="15">
        <f>IFERROR(($O$15-O33)/W33,"")</f>
        <v>-4.4898490369599479E-3</v>
      </c>
      <c r="Z33" s="15">
        <f>IFERROR(($P$15-P33)/W33,"")</f>
        <v>-3.3185840707964597E-3</v>
      </c>
      <c r="AA33" s="15">
        <f>IFERROR(($Q$15-Q33)/W33,"")</f>
        <v>-1.7568974492451872E-3</v>
      </c>
      <c r="AB33" s="15">
        <f>IFERROR(($R$15-R33)/W33,"")</f>
        <v>-4.4898490369599479E-3</v>
      </c>
      <c r="AC33" s="15">
        <f>IFERROR(($S$15-S33)/W33,"")</f>
        <v>-3.3185840707964597E-3</v>
      </c>
      <c r="AD33" s="20">
        <f>IFERROR(AVERAGE(X33:AC33), "")</f>
        <v>-3.1884435190005314E-3</v>
      </c>
      <c r="AE33" s="40">
        <f>IFERROR(STDEV(X33:AC33), "")</f>
        <v>1.2263632472035255E-3</v>
      </c>
      <c r="AG33" s="229"/>
      <c r="AH33" s="77">
        <f>'Sample ID'!$F$7</f>
        <v>1</v>
      </c>
      <c r="AI33" s="77">
        <f>IFERROR((X33*$AH$33),"")</f>
        <v>-1.7568974492451872E-3</v>
      </c>
      <c r="AJ33" s="77">
        <f t="shared" ref="AJ33:AN33" si="24">IFERROR((Y33*$AH$33),"")</f>
        <v>-4.4898490369599479E-3</v>
      </c>
      <c r="AK33" s="77">
        <f t="shared" si="24"/>
        <v>-3.3185840707964597E-3</v>
      </c>
      <c r="AL33" s="77">
        <f t="shared" si="24"/>
        <v>-1.7568974492451872E-3</v>
      </c>
      <c r="AM33" s="77">
        <f t="shared" si="24"/>
        <v>-4.4898490369599479E-3</v>
      </c>
      <c r="AN33" s="77">
        <f t="shared" si="24"/>
        <v>-3.3185840707964597E-3</v>
      </c>
      <c r="AO33" s="40">
        <f t="shared" ref="AO33:AO39" si="25">IFERROR(AD33*AH33,"")</f>
        <v>-3.1884435190005314E-3</v>
      </c>
      <c r="AP33" s="40">
        <f>IFERROR(STDEV(AI33:AN33), "")</f>
        <v>1.2263632472035255E-3</v>
      </c>
      <c r="AQ33" s="15"/>
      <c r="AR33" s="15"/>
      <c r="AS33" s="15"/>
      <c r="AT33" s="1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</row>
    <row r="34" spans="3:68">
      <c r="C34" s="199"/>
      <c r="D34" s="14" t="s">
        <v>18</v>
      </c>
      <c r="E34" s="15">
        <f>Data!B29</f>
        <v>1.9850000000000001</v>
      </c>
      <c r="F34" s="15">
        <f>Data!C29</f>
        <v>2.0049999999999999</v>
      </c>
      <c r="G34" s="15">
        <f>Data!D29</f>
        <v>2.0190000000000001</v>
      </c>
      <c r="H34" s="15">
        <f>Data!E29</f>
        <v>1.9850000000000001</v>
      </c>
      <c r="I34" s="15">
        <f>Data!F29</f>
        <v>2.0049999999999999</v>
      </c>
      <c r="J34" s="15">
        <f>Data!G29</f>
        <v>2.0190000000000001</v>
      </c>
      <c r="K34" s="15"/>
      <c r="L34" s="199"/>
      <c r="M34" s="129" t="s">
        <v>18</v>
      </c>
      <c r="N34" s="15">
        <f t="shared" si="22"/>
        <v>1.7451197293076528</v>
      </c>
      <c r="O34" s="15">
        <f t="shared" si="22"/>
        <v>1.7646408120770436</v>
      </c>
      <c r="P34" s="15">
        <f t="shared" si="22"/>
        <v>1.7783055700156174</v>
      </c>
      <c r="Q34" s="15">
        <f t="shared" si="22"/>
        <v>1.7451197293076528</v>
      </c>
      <c r="R34" s="15">
        <f t="shared" si="22"/>
        <v>1.7646408120770436</v>
      </c>
      <c r="S34" s="15">
        <f t="shared" si="22"/>
        <v>1.7783055700156174</v>
      </c>
      <c r="T34" s="20">
        <f t="shared" si="4"/>
        <v>1.7626887038001045</v>
      </c>
      <c r="U34" s="40">
        <f t="shared" si="5"/>
        <v>1.4917990505889737E-2</v>
      </c>
      <c r="V34" s="109"/>
      <c r="W34" s="82">
        <v>5</v>
      </c>
      <c r="X34" s="20">
        <f>IFERROR(($N$16-N34)/W34,"")</f>
        <v>-1.1712649661634877E-3</v>
      </c>
      <c r="Y34" s="15">
        <f>IFERROR(($O$16-O34)/W34,"")</f>
        <v>-9.7605413846952867E-4</v>
      </c>
      <c r="Z34" s="15">
        <f>IFERROR(($P$16-P34)/W34,"")</f>
        <v>1.5616866215512725E-3</v>
      </c>
      <c r="AA34" s="15">
        <f>IFERROR(($Q$16-Q34)/W34,"")</f>
        <v>-1.1712649661634877E-3</v>
      </c>
      <c r="AB34" s="15">
        <f>IFERROR(($R$16-R34)/W34,"")</f>
        <v>-9.7605413846952867E-4</v>
      </c>
      <c r="AC34" s="15">
        <f>IFERROR(($S$16-S34)/W34,"")</f>
        <v>1.5616866215512725E-3</v>
      </c>
      <c r="AD34" s="20">
        <f>IFERROR(AVERAGE(X34:AC34), "")</f>
        <v>-1.9521082769391465E-4</v>
      </c>
      <c r="AE34" s="40">
        <f t="shared" ref="AE34:AE48" si="26">IFERROR(STDEV(X34:AC34), "")</f>
        <v>1.3636842162862851E-3</v>
      </c>
      <c r="AG34" s="229"/>
      <c r="AH34" s="77">
        <f>'Sample ID'!$F$8</f>
        <v>1</v>
      </c>
      <c r="AI34" s="77">
        <f>IFERROR((X34*$AH$34),"")</f>
        <v>-1.1712649661634877E-3</v>
      </c>
      <c r="AJ34" s="77">
        <f t="shared" ref="AJ34:AN34" si="27">IFERROR((Y34*$AH$34),"")</f>
        <v>-9.7605413846952867E-4</v>
      </c>
      <c r="AK34" s="77">
        <f t="shared" si="27"/>
        <v>1.5616866215512725E-3</v>
      </c>
      <c r="AL34" s="77">
        <f t="shared" si="27"/>
        <v>-1.1712649661634877E-3</v>
      </c>
      <c r="AM34" s="77">
        <f t="shared" si="27"/>
        <v>-9.7605413846952867E-4</v>
      </c>
      <c r="AN34" s="77">
        <f t="shared" si="27"/>
        <v>1.5616866215512725E-3</v>
      </c>
      <c r="AO34" s="40">
        <f t="shared" si="25"/>
        <v>-1.9521082769391465E-4</v>
      </c>
      <c r="AP34" s="40">
        <f t="shared" ref="AP34:AP48" si="28">IFERROR(STDEV(AI34:AN34), "")</f>
        <v>1.3636842162862851E-3</v>
      </c>
      <c r="AQ34" s="15"/>
      <c r="AR34" s="15"/>
      <c r="AS34" s="15"/>
      <c r="AT34" s="1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</row>
    <row r="35" spans="3:68">
      <c r="C35" s="199"/>
      <c r="D35" s="14" t="s">
        <v>19</v>
      </c>
      <c r="E35" s="15">
        <f>Data!B30</f>
        <v>2.1539999999999999</v>
      </c>
      <c r="F35" s="15">
        <f>Data!C30</f>
        <v>2.149</v>
      </c>
      <c r="G35" s="15">
        <f>Data!D30</f>
        <v>2.1589999999999998</v>
      </c>
      <c r="H35" s="15">
        <f>Data!E30</f>
        <v>2.1539999999999999</v>
      </c>
      <c r="I35" s="15">
        <f>Data!F30</f>
        <v>2.149</v>
      </c>
      <c r="J35" s="15">
        <f>Data!G30</f>
        <v>2.1589999999999998</v>
      </c>
      <c r="K35" s="15"/>
      <c r="L35" s="199"/>
      <c r="M35" s="129" t="s">
        <v>19</v>
      </c>
      <c r="N35" s="15">
        <f t="shared" si="22"/>
        <v>1.910072878709006</v>
      </c>
      <c r="O35" s="15">
        <f t="shared" si="22"/>
        <v>1.9051926080166584</v>
      </c>
      <c r="P35" s="15">
        <f t="shared" si="22"/>
        <v>1.9149531494013536</v>
      </c>
      <c r="Q35" s="15">
        <f t="shared" si="22"/>
        <v>1.910072878709006</v>
      </c>
      <c r="R35" s="15">
        <f t="shared" si="22"/>
        <v>1.9051926080166584</v>
      </c>
      <c r="S35" s="15">
        <f t="shared" si="22"/>
        <v>1.9149531494013536</v>
      </c>
      <c r="T35" s="20">
        <f t="shared" si="4"/>
        <v>1.9100728787090062</v>
      </c>
      <c r="U35" s="40">
        <f t="shared" si="5"/>
        <v>4.3650468066757176E-3</v>
      </c>
      <c r="V35" s="109"/>
      <c r="W35" s="82">
        <v>5</v>
      </c>
      <c r="X35" s="20">
        <f>IFERROR(($N$17-N35)/W35,"")</f>
        <v>-2.0301926080166587E-2</v>
      </c>
      <c r="Y35" s="15">
        <f>IFERROR(($O$17-O35)/W35,"")</f>
        <v>-1.9911504424778716E-2</v>
      </c>
      <c r="Z35" s="15">
        <f>IFERROR(($P$17-P35)/W35,"")</f>
        <v>-2.03019260801665E-2</v>
      </c>
      <c r="AA35" s="15">
        <f>IFERROR(($Q$17-Q35)/W35,"")</f>
        <v>-2.0301926080166587E-2</v>
      </c>
      <c r="AB35" s="15">
        <f>IFERROR(($R$17-R35)/W35,"")</f>
        <v>-1.9911504424778716E-2</v>
      </c>
      <c r="AC35" s="15">
        <f>IFERROR(($S$17-S35)/W35,"")</f>
        <v>-2.03019260801665E-2</v>
      </c>
      <c r="AD35" s="20">
        <f t="shared" ref="AD35:AD47" si="29">IFERROR(AVERAGE(X35:AC35), "")</f>
        <v>-2.0171785528370598E-2</v>
      </c>
      <c r="AE35" s="40">
        <f t="shared" si="26"/>
        <v>2.0161287590877161E-4</v>
      </c>
      <c r="AG35" s="229"/>
      <c r="AH35" s="77">
        <f>'Sample ID'!$F$9</f>
        <v>1</v>
      </c>
      <c r="AI35" s="77">
        <f>IFERROR((X35*$AH$35),"")</f>
        <v>-2.0301926080166587E-2</v>
      </c>
      <c r="AJ35" s="77">
        <f t="shared" ref="AJ35:AN35" si="30">IFERROR((Y35*$AH$35),"")</f>
        <v>-1.9911504424778716E-2</v>
      </c>
      <c r="AK35" s="77">
        <f t="shared" si="30"/>
        <v>-2.03019260801665E-2</v>
      </c>
      <c r="AL35" s="77">
        <f t="shared" si="30"/>
        <v>-2.0301926080166587E-2</v>
      </c>
      <c r="AM35" s="77">
        <f t="shared" si="30"/>
        <v>-1.9911504424778716E-2</v>
      </c>
      <c r="AN35" s="77">
        <f t="shared" si="30"/>
        <v>-2.03019260801665E-2</v>
      </c>
      <c r="AO35" s="40">
        <f t="shared" si="25"/>
        <v>-2.0171785528370598E-2</v>
      </c>
      <c r="AP35" s="40">
        <f t="shared" si="28"/>
        <v>2.0161287590877161E-4</v>
      </c>
      <c r="AQ35" s="15"/>
      <c r="AR35" s="15"/>
      <c r="AS35" s="15"/>
      <c r="AT35" s="1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</row>
    <row r="36" spans="3:68">
      <c r="C36" s="199"/>
      <c r="D36" s="14" t="s">
        <v>20</v>
      </c>
      <c r="E36" s="15">
        <f>Data!B31</f>
        <v>2.1539999999999999</v>
      </c>
      <c r="F36" s="15">
        <f>Data!C31</f>
        <v>2.1419999999999999</v>
      </c>
      <c r="G36" s="15">
        <f>Data!D31</f>
        <v>2.1280000000000001</v>
      </c>
      <c r="H36" s="15">
        <f>Data!E31</f>
        <v>2.1539999999999999</v>
      </c>
      <c r="I36" s="15">
        <f>Data!F31</f>
        <v>2.1419999999999999</v>
      </c>
      <c r="J36" s="15">
        <f>Data!G31</f>
        <v>2.1280000000000001</v>
      </c>
      <c r="K36" s="15"/>
      <c r="L36" s="199"/>
      <c r="M36" s="129" t="s">
        <v>20</v>
      </c>
      <c r="N36" s="15">
        <f t="shared" si="22"/>
        <v>1.910072878709006</v>
      </c>
      <c r="O36" s="15">
        <f t="shared" si="22"/>
        <v>1.8983602290473716</v>
      </c>
      <c r="P36" s="15">
        <f t="shared" si="22"/>
        <v>1.884695471108798</v>
      </c>
      <c r="Q36" s="15">
        <f t="shared" si="22"/>
        <v>1.910072878709006</v>
      </c>
      <c r="R36" s="15">
        <f t="shared" si="22"/>
        <v>1.8983602290473716</v>
      </c>
      <c r="S36" s="15">
        <f t="shared" si="22"/>
        <v>1.884695471108798</v>
      </c>
      <c r="T36" s="20">
        <f t="shared" si="4"/>
        <v>1.8977095262883921</v>
      </c>
      <c r="U36" s="40">
        <f t="shared" si="5"/>
        <v>1.1360308611553885E-2</v>
      </c>
      <c r="V36" s="109"/>
      <c r="W36" s="82">
        <v>5</v>
      </c>
      <c r="X36" s="20">
        <f>IFERROR(($N$18-N36)/W36,"")</f>
        <v>-1.2298282144716222E-2</v>
      </c>
      <c r="Y36" s="15">
        <f>IFERROR(($O$18-O36)/W36,"")</f>
        <v>-1.4640812077043153E-2</v>
      </c>
      <c r="Z36" s="15">
        <f>IFERROR(($P$18-P36)/W36,"")</f>
        <v>-7.6132222800624925E-3</v>
      </c>
      <c r="AA36" s="15">
        <f>IFERROR(($Q$18-Q36)/W36,"")</f>
        <v>-1.2298282144716222E-2</v>
      </c>
      <c r="AB36" s="15">
        <f>IFERROR(($R$18-R36)/W36,"")</f>
        <v>-1.4640812077043153E-2</v>
      </c>
      <c r="AC36" s="15">
        <f>IFERROR(($S$18-S36)/W36,"")</f>
        <v>-7.6132222800624925E-3</v>
      </c>
      <c r="AD36" s="20">
        <f t="shared" si="29"/>
        <v>-1.1517438833940623E-2</v>
      </c>
      <c r="AE36" s="40">
        <f t="shared" si="26"/>
        <v>3.2005051845786993E-3</v>
      </c>
      <c r="AG36" s="229"/>
      <c r="AH36" s="77">
        <f>'Sample ID'!$F$10</f>
        <v>1</v>
      </c>
      <c r="AI36" s="77">
        <f>IFERROR((X36*$AH$36),"")</f>
        <v>-1.2298282144716222E-2</v>
      </c>
      <c r="AJ36" s="77">
        <f t="shared" ref="AJ36:AN36" si="31">IFERROR((Y36*$AH$36),"")</f>
        <v>-1.4640812077043153E-2</v>
      </c>
      <c r="AK36" s="77">
        <f t="shared" si="31"/>
        <v>-7.6132222800624925E-3</v>
      </c>
      <c r="AL36" s="77">
        <f t="shared" si="31"/>
        <v>-1.2298282144716222E-2</v>
      </c>
      <c r="AM36" s="77">
        <f t="shared" si="31"/>
        <v>-1.4640812077043153E-2</v>
      </c>
      <c r="AN36" s="77">
        <f t="shared" si="31"/>
        <v>-7.6132222800624925E-3</v>
      </c>
      <c r="AO36" s="40">
        <f t="shared" si="25"/>
        <v>-1.1517438833940623E-2</v>
      </c>
      <c r="AP36" s="40">
        <f t="shared" si="28"/>
        <v>3.2005051845786993E-3</v>
      </c>
      <c r="AQ36" s="15"/>
      <c r="AR36" s="15"/>
      <c r="AS36" s="15"/>
      <c r="AT36" s="1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</row>
    <row r="37" spans="3:68">
      <c r="C37" s="199"/>
      <c r="D37" s="14" t="s">
        <v>21</v>
      </c>
      <c r="E37" s="15">
        <f>Data!B32</f>
        <v>1.8380000000000001</v>
      </c>
      <c r="F37" s="15">
        <f>Data!C32</f>
        <v>1.883</v>
      </c>
      <c r="G37" s="15">
        <f>Data!D32</f>
        <v>1.8440000000000001</v>
      </c>
      <c r="H37" s="15">
        <f>Data!E32</f>
        <v>1.8380000000000001</v>
      </c>
      <c r="I37" s="15">
        <f>Data!F32</f>
        <v>1.883</v>
      </c>
      <c r="J37" s="15">
        <f>Data!G32</f>
        <v>1.8440000000000001</v>
      </c>
      <c r="K37" s="15"/>
      <c r="L37" s="199"/>
      <c r="M37" s="129" t="s">
        <v>21</v>
      </c>
      <c r="N37" s="15">
        <f t="shared" si="22"/>
        <v>1.6016397709526293</v>
      </c>
      <c r="O37" s="15">
        <f t="shared" si="22"/>
        <v>1.6455622071837588</v>
      </c>
      <c r="P37" s="15">
        <f t="shared" si="22"/>
        <v>1.6074960957834465</v>
      </c>
      <c r="Q37" s="15">
        <f t="shared" si="22"/>
        <v>1.6016397709526293</v>
      </c>
      <c r="R37" s="15">
        <f t="shared" si="22"/>
        <v>1.6455622071837588</v>
      </c>
      <c r="S37" s="15">
        <f t="shared" si="22"/>
        <v>1.6074960957834465</v>
      </c>
      <c r="T37" s="20">
        <f t="shared" si="4"/>
        <v>1.6182326913066116</v>
      </c>
      <c r="U37" s="40">
        <f t="shared" si="5"/>
        <v>2.1330747079095821E-2</v>
      </c>
      <c r="V37" s="109"/>
      <c r="W37" s="82">
        <v>5</v>
      </c>
      <c r="X37" s="20">
        <f>IFERROR(($N$19-N37)/W37,"")</f>
        <v>1.1517438833940652E-2</v>
      </c>
      <c r="Y37" s="15">
        <f>IFERROR(($O$19-O37)/W37,"")</f>
        <v>9.9557522123893787E-3</v>
      </c>
      <c r="Z37" s="15">
        <f>IFERROR(($P$19-P37)/W37,"")</f>
        <v>9.9557522123893787E-3</v>
      </c>
      <c r="AA37" s="15">
        <f>IFERROR(($Q$19-Q37)/W37,"")</f>
        <v>1.1517438833940652E-2</v>
      </c>
      <c r="AB37" s="15">
        <f>IFERROR(($R$19-R37)/W37,"")</f>
        <v>9.9557522123893787E-3</v>
      </c>
      <c r="AC37" s="15">
        <f>IFERROR(($S$19-S37)/W37,"")</f>
        <v>9.9557522123893787E-3</v>
      </c>
      <c r="AD37" s="20">
        <f t="shared" si="29"/>
        <v>1.0476314419573135E-2</v>
      </c>
      <c r="AE37" s="40">
        <f t="shared" si="26"/>
        <v>8.0645150363506759E-4</v>
      </c>
      <c r="AG37" s="229"/>
      <c r="AH37" s="77">
        <f>'Sample ID'!$F$11</f>
        <v>0</v>
      </c>
      <c r="AI37" s="77">
        <f>IFERROR((X37*$AH$37),"")</f>
        <v>0</v>
      </c>
      <c r="AJ37" s="77">
        <f t="shared" ref="AJ37:AN37" si="32">IFERROR((Y37*$AH$37),"")</f>
        <v>0</v>
      </c>
      <c r="AK37" s="77">
        <f t="shared" si="32"/>
        <v>0</v>
      </c>
      <c r="AL37" s="77">
        <f t="shared" si="32"/>
        <v>0</v>
      </c>
      <c r="AM37" s="77">
        <f t="shared" si="32"/>
        <v>0</v>
      </c>
      <c r="AN37" s="77">
        <f t="shared" si="32"/>
        <v>0</v>
      </c>
      <c r="AO37" s="40">
        <f t="shared" si="25"/>
        <v>0</v>
      </c>
      <c r="AP37" s="40">
        <f t="shared" si="28"/>
        <v>0</v>
      </c>
      <c r="AQ37" s="15"/>
      <c r="AR37" s="15"/>
      <c r="AS37" s="15"/>
      <c r="AT37" s="1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</row>
    <row r="38" spans="3:68">
      <c r="C38" s="199"/>
      <c r="D38" s="14" t="s">
        <v>22</v>
      </c>
      <c r="E38" s="15">
        <f>Data!B33</f>
        <v>1.871</v>
      </c>
      <c r="F38" s="15">
        <f>Data!C33</f>
        <v>1.88</v>
      </c>
      <c r="G38" s="15">
        <f>Data!D33</f>
        <v>1.89</v>
      </c>
      <c r="H38" s="15">
        <f>Data!E33</f>
        <v>1.871</v>
      </c>
      <c r="I38" s="15">
        <f>Data!F33</f>
        <v>1.88</v>
      </c>
      <c r="J38" s="15">
        <f>Data!G33</f>
        <v>1.89</v>
      </c>
      <c r="K38" s="15"/>
      <c r="L38" s="199"/>
      <c r="M38" s="129" t="s">
        <v>22</v>
      </c>
      <c r="N38" s="15">
        <f t="shared" si="22"/>
        <v>1.6338495575221244</v>
      </c>
      <c r="O38" s="15">
        <f t="shared" si="22"/>
        <v>1.6426340447683501</v>
      </c>
      <c r="P38" s="15">
        <f t="shared" si="22"/>
        <v>1.6523945861530456</v>
      </c>
      <c r="Q38" s="15">
        <f t="shared" si="22"/>
        <v>1.6338495575221244</v>
      </c>
      <c r="R38" s="15">
        <f t="shared" si="22"/>
        <v>1.6426340447683501</v>
      </c>
      <c r="S38" s="15">
        <f t="shared" si="22"/>
        <v>1.6523945861530456</v>
      </c>
      <c r="T38" s="20">
        <f t="shared" si="4"/>
        <v>1.6429593961478399</v>
      </c>
      <c r="U38" s="40">
        <f t="shared" si="5"/>
        <v>8.2974170376340119E-3</v>
      </c>
      <c r="V38" s="109"/>
      <c r="W38" s="82">
        <v>5</v>
      </c>
      <c r="X38" s="20">
        <f>IFERROR(($N$20-N38)/W38,"")</f>
        <v>7.0275897969807486E-3</v>
      </c>
      <c r="Y38" s="15">
        <f>IFERROR(($O$20-O38)/W38,"")</f>
        <v>4.2946382092660332E-3</v>
      </c>
      <c r="Z38" s="15">
        <f>IFERROR(($P$20-P38)/W38,"")</f>
        <v>4.6850598646538174E-3</v>
      </c>
      <c r="AA38" s="15">
        <f>IFERROR(($Q$20-Q38)/W38,"")</f>
        <v>7.0275897969807486E-3</v>
      </c>
      <c r="AB38" s="15">
        <f>IFERROR(($R$20-R38)/W38,"")</f>
        <v>4.2946382092660332E-3</v>
      </c>
      <c r="AC38" s="15">
        <f>IFERROR(($S$20-S38)/W38,"")</f>
        <v>4.6850598646538174E-3</v>
      </c>
      <c r="AD38" s="20">
        <f t="shared" si="29"/>
        <v>5.3357626236335337E-3</v>
      </c>
      <c r="AE38" s="40">
        <f t="shared" si="26"/>
        <v>1.3220640394794668E-3</v>
      </c>
      <c r="AG38" s="229"/>
      <c r="AH38" s="77">
        <f>'Sample ID'!$F$12</f>
        <v>0</v>
      </c>
      <c r="AI38" s="77">
        <f>IFERROR((X38*$AH$38),"")</f>
        <v>0</v>
      </c>
      <c r="AJ38" s="77">
        <f t="shared" ref="AJ38:AN38" si="33">IFERROR((Y38*$AH$38),"")</f>
        <v>0</v>
      </c>
      <c r="AK38" s="77">
        <f t="shared" si="33"/>
        <v>0</v>
      </c>
      <c r="AL38" s="77">
        <f t="shared" si="33"/>
        <v>0</v>
      </c>
      <c r="AM38" s="77">
        <f t="shared" si="33"/>
        <v>0</v>
      </c>
      <c r="AN38" s="77">
        <f t="shared" si="33"/>
        <v>0</v>
      </c>
      <c r="AO38" s="40">
        <f t="shared" si="25"/>
        <v>0</v>
      </c>
      <c r="AP38" s="40">
        <f t="shared" si="28"/>
        <v>0</v>
      </c>
      <c r="AQ38" s="15"/>
      <c r="AR38" s="15"/>
      <c r="AS38" s="15"/>
      <c r="AT38" s="1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</row>
    <row r="39" spans="3:68">
      <c r="C39" s="199"/>
      <c r="D39" s="14" t="s">
        <v>23</v>
      </c>
      <c r="E39" s="15">
        <f>Data!B34</f>
        <v>0</v>
      </c>
      <c r="F39" s="15">
        <f>Data!C34</f>
        <v>0</v>
      </c>
      <c r="G39" s="15">
        <f>Data!D34</f>
        <v>0</v>
      </c>
      <c r="H39" s="15">
        <f>Data!E34</f>
        <v>0</v>
      </c>
      <c r="I39" s="15">
        <f>Data!F34</f>
        <v>0</v>
      </c>
      <c r="J39" s="15">
        <f>Data!G34</f>
        <v>0</v>
      </c>
      <c r="K39" s="15"/>
      <c r="L39" s="199"/>
      <c r="M39" s="129" t="s">
        <v>23</v>
      </c>
      <c r="N39" s="15" t="str">
        <f t="shared" si="22"/>
        <v xml:space="preserve"> </v>
      </c>
      <c r="O39" s="15" t="str">
        <f t="shared" si="22"/>
        <v xml:space="preserve"> </v>
      </c>
      <c r="P39" s="15" t="str">
        <f t="shared" si="22"/>
        <v xml:space="preserve"> </v>
      </c>
      <c r="Q39" s="15" t="str">
        <f t="shared" si="22"/>
        <v xml:space="preserve"> </v>
      </c>
      <c r="R39" s="15" t="str">
        <f t="shared" si="22"/>
        <v xml:space="preserve"> </v>
      </c>
      <c r="S39" s="15" t="str">
        <f t="shared" si="22"/>
        <v xml:space="preserve"> </v>
      </c>
      <c r="T39" s="20" t="str">
        <f t="shared" si="4"/>
        <v/>
      </c>
      <c r="U39" s="40" t="str">
        <f t="shared" si="5"/>
        <v/>
      </c>
      <c r="V39" s="109"/>
      <c r="W39" s="82">
        <v>5</v>
      </c>
      <c r="X39" s="20" t="str">
        <f>IFERROR(($N$21-N39)/W39,"")</f>
        <v/>
      </c>
      <c r="Y39" s="15" t="str">
        <f>IFERROR(($O$21-O39)/W39,"")</f>
        <v/>
      </c>
      <c r="Z39" s="15" t="str">
        <f>IFERROR(($P$21-P39)/W39,"")</f>
        <v/>
      </c>
      <c r="AA39" s="15" t="str">
        <f>IFERROR(($Q$21-Q39)/W39,"")</f>
        <v/>
      </c>
      <c r="AB39" s="15" t="str">
        <f>IFERROR(($R$21-R39)/W39,"")</f>
        <v/>
      </c>
      <c r="AC39" s="15" t="str">
        <f>IFERROR(($S$21-S39)/W39,"")</f>
        <v/>
      </c>
      <c r="AD39" s="20" t="str">
        <f t="shared" si="29"/>
        <v/>
      </c>
      <c r="AE39" s="40" t="str">
        <f t="shared" si="26"/>
        <v/>
      </c>
      <c r="AG39" s="229"/>
      <c r="AH39" s="77">
        <f>'Sample ID'!$F$13</f>
        <v>0</v>
      </c>
      <c r="AI39" s="77" t="str">
        <f>IFERROR((X39*$AH$39),"")</f>
        <v/>
      </c>
      <c r="AJ39" s="77" t="str">
        <f t="shared" ref="AJ39:AN39" si="34">IFERROR((Y39*$AH$39),"")</f>
        <v/>
      </c>
      <c r="AK39" s="77" t="str">
        <f t="shared" si="34"/>
        <v/>
      </c>
      <c r="AL39" s="77" t="str">
        <f t="shared" si="34"/>
        <v/>
      </c>
      <c r="AM39" s="77" t="str">
        <f t="shared" si="34"/>
        <v/>
      </c>
      <c r="AN39" s="77" t="str">
        <f t="shared" si="34"/>
        <v/>
      </c>
      <c r="AO39" s="40" t="str">
        <f t="shared" si="25"/>
        <v/>
      </c>
      <c r="AP39" s="40" t="str">
        <f t="shared" si="28"/>
        <v/>
      </c>
      <c r="AQ39" s="15"/>
      <c r="AR39" s="15"/>
      <c r="AS39" s="15"/>
      <c r="AT39" s="1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</row>
    <row r="40" spans="3:68">
      <c r="C40" s="199"/>
      <c r="D40" s="39"/>
      <c r="E40" s="56">
        <v>7</v>
      </c>
      <c r="F40" s="56">
        <v>8</v>
      </c>
      <c r="G40" s="57">
        <v>9</v>
      </c>
      <c r="H40" s="56">
        <v>10</v>
      </c>
      <c r="I40" s="56">
        <v>11</v>
      </c>
      <c r="J40" s="57">
        <v>12</v>
      </c>
      <c r="K40" s="19"/>
      <c r="L40" s="199"/>
      <c r="M40" s="38"/>
      <c r="N40" s="59">
        <v>7</v>
      </c>
      <c r="O40" s="38">
        <v>8</v>
      </c>
      <c r="P40" s="38">
        <v>9</v>
      </c>
      <c r="Q40" s="38">
        <v>10</v>
      </c>
      <c r="R40" s="38">
        <v>11</v>
      </c>
      <c r="S40" s="50">
        <v>12</v>
      </c>
      <c r="T40" s="38" t="s">
        <v>24</v>
      </c>
      <c r="U40" s="51" t="s">
        <v>3</v>
      </c>
      <c r="V40" s="109"/>
      <c r="W40" s="98"/>
      <c r="X40" s="38">
        <v>7</v>
      </c>
      <c r="Y40" s="38">
        <v>8</v>
      </c>
      <c r="Z40" s="38">
        <v>9</v>
      </c>
      <c r="AA40" s="38">
        <v>10</v>
      </c>
      <c r="AB40" s="38">
        <v>11</v>
      </c>
      <c r="AC40" s="50">
        <v>12</v>
      </c>
      <c r="AD40" s="50" t="s">
        <v>49</v>
      </c>
      <c r="AE40" s="51" t="s">
        <v>3</v>
      </c>
      <c r="AG40" s="229"/>
      <c r="AH40" s="119"/>
      <c r="AI40" s="119"/>
      <c r="AJ40" s="119"/>
      <c r="AK40" s="119"/>
      <c r="AL40" s="119"/>
      <c r="AM40" s="119"/>
      <c r="AN40" s="119"/>
      <c r="AO40" s="100"/>
      <c r="AP40" s="51" t="s">
        <v>3</v>
      </c>
      <c r="AQ40" s="15"/>
      <c r="AR40" s="15"/>
      <c r="AS40" s="15"/>
      <c r="AT40" s="11"/>
      <c r="AU40" s="41"/>
      <c r="AV40" s="41"/>
      <c r="AW40" s="41"/>
      <c r="AX40" s="41"/>
      <c r="AY40" s="41"/>
      <c r="AZ40" s="41"/>
      <c r="BA40" s="41"/>
      <c r="BB40" s="41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</row>
    <row r="41" spans="3:68">
      <c r="C41" s="199"/>
      <c r="D41" s="14" t="s">
        <v>16</v>
      </c>
      <c r="E41" s="15">
        <f>Data!H27</f>
        <v>0</v>
      </c>
      <c r="F41" s="15">
        <f>Data!I27</f>
        <v>0</v>
      </c>
      <c r="G41" s="15">
        <f>Data!J27</f>
        <v>0</v>
      </c>
      <c r="H41" s="15">
        <f>Data!K27</f>
        <v>0</v>
      </c>
      <c r="I41" s="15">
        <f>Data!L27</f>
        <v>0</v>
      </c>
      <c r="J41" s="15">
        <f>Data!M27</f>
        <v>0</v>
      </c>
      <c r="K41" s="15"/>
      <c r="L41" s="199"/>
      <c r="M41" s="129" t="s">
        <v>16</v>
      </c>
      <c r="N41" s="15" t="str">
        <f t="shared" ref="N41:S48" si="35">IF(((E41-$P$11)/$P$10)&gt;0,((E41-$P$11)/$P$10)," ")</f>
        <v xml:space="preserve"> </v>
      </c>
      <c r="O41" s="15" t="str">
        <f t="shared" si="35"/>
        <v xml:space="preserve"> </v>
      </c>
      <c r="P41" s="15" t="str">
        <f t="shared" si="35"/>
        <v xml:space="preserve"> </v>
      </c>
      <c r="Q41" s="15" t="str">
        <f t="shared" si="35"/>
        <v xml:space="preserve"> </v>
      </c>
      <c r="R41" s="15" t="str">
        <f t="shared" si="35"/>
        <v xml:space="preserve"> </v>
      </c>
      <c r="S41" s="15" t="str">
        <f t="shared" si="35"/>
        <v xml:space="preserve"> </v>
      </c>
      <c r="T41" s="20" t="str">
        <f t="shared" si="4"/>
        <v/>
      </c>
      <c r="U41" s="40" t="str">
        <f t="shared" si="5"/>
        <v/>
      </c>
      <c r="V41" s="109"/>
      <c r="W41" s="82">
        <v>5</v>
      </c>
      <c r="X41" s="20" t="str">
        <f>IFERROR(($N$23-N41)/W41,"")</f>
        <v/>
      </c>
      <c r="Y41" s="15" t="str">
        <f>IFERROR(($O$23-O41)/W41,"")</f>
        <v/>
      </c>
      <c r="Z41" s="15" t="str">
        <f>IFERROR(($P$23-P41)/W41,"")</f>
        <v/>
      </c>
      <c r="AA41" s="15" t="str">
        <f>IFERROR(($Q$23-Q41)/W41,"")</f>
        <v/>
      </c>
      <c r="AB41" s="15" t="str">
        <f>IFERROR(($R$23-R41)/W41,"")</f>
        <v/>
      </c>
      <c r="AC41" s="15" t="str">
        <f>IFERROR(($S$23-S41)/W41,"")</f>
        <v/>
      </c>
      <c r="AD41" s="20" t="str">
        <f t="shared" si="29"/>
        <v/>
      </c>
      <c r="AE41" s="40" t="str">
        <f t="shared" si="26"/>
        <v/>
      </c>
      <c r="AG41" s="229"/>
      <c r="AH41" s="77">
        <f>'Sample ID'!$F$14</f>
        <v>0</v>
      </c>
      <c r="AI41" s="77" t="str">
        <f>IFERROR((X41*$AH$41),"")</f>
        <v/>
      </c>
      <c r="AJ41" s="77" t="str">
        <f t="shared" ref="AJ41:AN41" si="36">IFERROR((Y41*$AH$41),"")</f>
        <v/>
      </c>
      <c r="AK41" s="77" t="str">
        <f t="shared" si="36"/>
        <v/>
      </c>
      <c r="AL41" s="77" t="str">
        <f t="shared" si="36"/>
        <v/>
      </c>
      <c r="AM41" s="77" t="str">
        <f t="shared" si="36"/>
        <v/>
      </c>
      <c r="AN41" s="77" t="str">
        <f t="shared" si="36"/>
        <v/>
      </c>
      <c r="AO41" s="40" t="str">
        <f t="shared" ref="AO41:AO48" si="37">IFERROR(AD41*AH41,"")</f>
        <v/>
      </c>
      <c r="AP41" s="40" t="str">
        <f t="shared" si="28"/>
        <v/>
      </c>
      <c r="AQ41" s="15"/>
      <c r="AR41" s="15"/>
      <c r="AS41" s="15"/>
      <c r="AT41" s="11"/>
      <c r="AU41" s="41"/>
      <c r="AV41" s="41"/>
      <c r="AW41" s="41"/>
      <c r="AX41" s="41"/>
      <c r="AY41" s="41"/>
      <c r="AZ41" s="41"/>
      <c r="BA41" s="41"/>
      <c r="BB41" s="41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</row>
    <row r="42" spans="3:68">
      <c r="C42" s="199"/>
      <c r="D42" s="14" t="s">
        <v>17</v>
      </c>
      <c r="E42" s="15">
        <f>Data!H28</f>
        <v>0</v>
      </c>
      <c r="F42" s="15">
        <f>Data!I28</f>
        <v>0</v>
      </c>
      <c r="G42" s="15">
        <f>Data!J28</f>
        <v>0</v>
      </c>
      <c r="H42" s="15">
        <f>Data!K28</f>
        <v>0</v>
      </c>
      <c r="I42" s="15">
        <f>Data!L28</f>
        <v>0</v>
      </c>
      <c r="J42" s="15">
        <f>Data!M28</f>
        <v>0</v>
      </c>
      <c r="K42" s="15"/>
      <c r="L42" s="199"/>
      <c r="M42" s="129" t="s">
        <v>17</v>
      </c>
      <c r="N42" s="15" t="str">
        <f t="shared" si="35"/>
        <v xml:space="preserve"> </v>
      </c>
      <c r="O42" s="15" t="str">
        <f t="shared" si="35"/>
        <v xml:space="preserve"> </v>
      </c>
      <c r="P42" s="15" t="str">
        <f t="shared" si="35"/>
        <v xml:space="preserve"> </v>
      </c>
      <c r="Q42" s="15" t="str">
        <f t="shared" si="35"/>
        <v xml:space="preserve"> </v>
      </c>
      <c r="R42" s="15" t="str">
        <f t="shared" si="35"/>
        <v xml:space="preserve"> </v>
      </c>
      <c r="S42" s="15" t="str">
        <f t="shared" si="35"/>
        <v xml:space="preserve"> </v>
      </c>
      <c r="T42" s="20" t="str">
        <f t="shared" si="4"/>
        <v/>
      </c>
      <c r="U42" s="40" t="str">
        <f t="shared" si="5"/>
        <v/>
      </c>
      <c r="V42" s="109"/>
      <c r="W42" s="82">
        <v>5</v>
      </c>
      <c r="X42" s="20" t="str">
        <f>IFERROR(($N$24-N42)/W42,"")</f>
        <v/>
      </c>
      <c r="Y42" s="15" t="str">
        <f>IFERROR(($O$24-O42)/W42,"")</f>
        <v/>
      </c>
      <c r="Z42" s="15" t="str">
        <f>IFERROR(($P$24-P42)/W42,"")</f>
        <v/>
      </c>
      <c r="AA42" s="15" t="str">
        <f>IFERROR(($Q$24-Q42)/W42,"")</f>
        <v/>
      </c>
      <c r="AB42" s="15" t="str">
        <f>IFERROR(($R$24-R42)/W42,"")</f>
        <v/>
      </c>
      <c r="AC42" s="15" t="str">
        <f>IFERROR(($S$24-S42)/W42,"")</f>
        <v/>
      </c>
      <c r="AD42" s="20" t="str">
        <f t="shared" si="29"/>
        <v/>
      </c>
      <c r="AE42" s="40" t="str">
        <f t="shared" si="26"/>
        <v/>
      </c>
      <c r="AG42" s="229"/>
      <c r="AH42" s="77">
        <f>'Sample ID'!$F$15</f>
        <v>0</v>
      </c>
      <c r="AI42" s="77" t="str">
        <f>IFERROR((X42*$AH$42),"")</f>
        <v/>
      </c>
      <c r="AJ42" s="77" t="str">
        <f t="shared" ref="AJ42:AN42" si="38">IFERROR((Y42*$AH$42),"")</f>
        <v/>
      </c>
      <c r="AK42" s="77" t="str">
        <f t="shared" si="38"/>
        <v/>
      </c>
      <c r="AL42" s="77" t="str">
        <f t="shared" si="38"/>
        <v/>
      </c>
      <c r="AM42" s="77" t="str">
        <f t="shared" si="38"/>
        <v/>
      </c>
      <c r="AN42" s="77" t="str">
        <f t="shared" si="38"/>
        <v/>
      </c>
      <c r="AO42" s="40" t="str">
        <f t="shared" si="37"/>
        <v/>
      </c>
      <c r="AP42" s="40" t="str">
        <f t="shared" si="28"/>
        <v/>
      </c>
      <c r="AQ42" s="15"/>
      <c r="AR42" s="15"/>
      <c r="AS42" s="15"/>
      <c r="AT42" s="11"/>
      <c r="AU42" s="41"/>
      <c r="AV42" s="41"/>
      <c r="AW42" s="41"/>
      <c r="AX42" s="41"/>
      <c r="AY42" s="41"/>
      <c r="AZ42" s="41"/>
      <c r="BA42" s="41"/>
      <c r="BB42" s="41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</row>
    <row r="43" spans="3:68">
      <c r="C43" s="199"/>
      <c r="D43" s="14" t="s">
        <v>18</v>
      </c>
      <c r="E43" s="15">
        <f>Data!H29</f>
        <v>0</v>
      </c>
      <c r="F43" s="15">
        <f>Data!I29</f>
        <v>0</v>
      </c>
      <c r="G43" s="15">
        <f>Data!J29</f>
        <v>0</v>
      </c>
      <c r="H43" s="15">
        <f>Data!K29</f>
        <v>0</v>
      </c>
      <c r="I43" s="15">
        <f>Data!L29</f>
        <v>0</v>
      </c>
      <c r="J43" s="15">
        <f>Data!M29</f>
        <v>0</v>
      </c>
      <c r="K43" s="15"/>
      <c r="L43" s="199"/>
      <c r="M43" s="129" t="s">
        <v>18</v>
      </c>
      <c r="N43" s="15" t="str">
        <f t="shared" si="35"/>
        <v xml:space="preserve"> </v>
      </c>
      <c r="O43" s="15" t="str">
        <f t="shared" si="35"/>
        <v xml:space="preserve"> </v>
      </c>
      <c r="P43" s="15" t="str">
        <f t="shared" si="35"/>
        <v xml:space="preserve"> </v>
      </c>
      <c r="Q43" s="15" t="str">
        <f t="shared" si="35"/>
        <v xml:space="preserve"> </v>
      </c>
      <c r="R43" s="15" t="str">
        <f t="shared" si="35"/>
        <v xml:space="preserve"> </v>
      </c>
      <c r="S43" s="15" t="str">
        <f t="shared" si="35"/>
        <v xml:space="preserve"> </v>
      </c>
      <c r="T43" s="20" t="str">
        <f t="shared" si="4"/>
        <v/>
      </c>
      <c r="U43" s="40" t="str">
        <f t="shared" si="5"/>
        <v/>
      </c>
      <c r="V43" s="109"/>
      <c r="W43" s="82">
        <v>5</v>
      </c>
      <c r="X43" s="20" t="str">
        <f>IFERROR(($N$25-N43)/W43,"")</f>
        <v/>
      </c>
      <c r="Y43" s="15" t="str">
        <f>IFERROR(($O$25-O43)/W43,"")</f>
        <v/>
      </c>
      <c r="Z43" s="15" t="str">
        <f>IFERROR(($P$25-P43)/W43,"")</f>
        <v/>
      </c>
      <c r="AA43" s="15" t="str">
        <f>IFERROR(($Q$25-Q43)/W43,"")</f>
        <v/>
      </c>
      <c r="AB43" s="15" t="str">
        <f>IFERROR(($R$25-R43)/W43,"")</f>
        <v/>
      </c>
      <c r="AC43" s="15" t="str">
        <f>IFERROR(($S$25-S43)/W43,"")</f>
        <v/>
      </c>
      <c r="AD43" s="20" t="str">
        <f>IFERROR(AVERAGE(X43:AC43), "")</f>
        <v/>
      </c>
      <c r="AE43" s="40" t="str">
        <f>IFERROR(STDEV(X43:AC43), "")</f>
        <v/>
      </c>
      <c r="AG43" s="229"/>
      <c r="AH43" s="77">
        <f>'Sample ID'!$F$16</f>
        <v>0</v>
      </c>
      <c r="AI43" s="77" t="str">
        <f>IFERROR((X43*$AH$43),"")</f>
        <v/>
      </c>
      <c r="AJ43" s="77" t="str">
        <f t="shared" ref="AJ43:AN43" si="39">IFERROR((Y43*$AH$43),"")</f>
        <v/>
      </c>
      <c r="AK43" s="77" t="str">
        <f t="shared" si="39"/>
        <v/>
      </c>
      <c r="AL43" s="77" t="str">
        <f t="shared" si="39"/>
        <v/>
      </c>
      <c r="AM43" s="77" t="str">
        <f t="shared" si="39"/>
        <v/>
      </c>
      <c r="AN43" s="77" t="str">
        <f t="shared" si="39"/>
        <v/>
      </c>
      <c r="AO43" s="40" t="str">
        <f t="shared" si="37"/>
        <v/>
      </c>
      <c r="AP43" s="40" t="str">
        <f>IFERROR(STDEV(AI43:AN43), "")</f>
        <v/>
      </c>
      <c r="AQ43" s="15"/>
      <c r="AR43" s="15"/>
      <c r="AS43" s="15"/>
      <c r="AT43" s="11"/>
      <c r="AU43" s="41"/>
      <c r="AV43" s="41"/>
      <c r="AW43" s="41"/>
      <c r="AX43" s="41"/>
      <c r="AY43" s="41"/>
      <c r="AZ43" s="41"/>
      <c r="BA43" s="41"/>
      <c r="BB43" s="41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</row>
    <row r="44" spans="3:68">
      <c r="C44" s="199"/>
      <c r="D44" s="14" t="s">
        <v>19</v>
      </c>
      <c r="E44" s="15">
        <f>Data!H30</f>
        <v>0</v>
      </c>
      <c r="F44" s="15">
        <f>Data!I30</f>
        <v>0</v>
      </c>
      <c r="G44" s="15">
        <f>Data!J30</f>
        <v>0</v>
      </c>
      <c r="H44" s="15">
        <f>Data!K30</f>
        <v>0</v>
      </c>
      <c r="I44" s="15">
        <f>Data!L30</f>
        <v>0</v>
      </c>
      <c r="J44" s="15">
        <f>Data!M30</f>
        <v>0</v>
      </c>
      <c r="K44" s="15"/>
      <c r="L44" s="199"/>
      <c r="M44" s="129" t="s">
        <v>19</v>
      </c>
      <c r="N44" s="15" t="str">
        <f t="shared" si="35"/>
        <v xml:space="preserve"> </v>
      </c>
      <c r="O44" s="15" t="str">
        <f t="shared" si="35"/>
        <v xml:space="preserve"> </v>
      </c>
      <c r="P44" s="15" t="str">
        <f t="shared" si="35"/>
        <v xml:space="preserve"> </v>
      </c>
      <c r="Q44" s="15" t="str">
        <f t="shared" si="35"/>
        <v xml:space="preserve"> </v>
      </c>
      <c r="R44" s="15" t="str">
        <f t="shared" si="35"/>
        <v xml:space="preserve"> </v>
      </c>
      <c r="S44" s="15" t="str">
        <f t="shared" si="35"/>
        <v xml:space="preserve"> </v>
      </c>
      <c r="T44" s="20" t="str">
        <f>IFERROR(AVERAGE(N44:S44),"")</f>
        <v/>
      </c>
      <c r="U44" s="40" t="str">
        <f t="shared" si="5"/>
        <v/>
      </c>
      <c r="V44" s="109"/>
      <c r="W44" s="82">
        <v>5</v>
      </c>
      <c r="X44" s="20" t="str">
        <f>IFERROR(($N$26-N44)/W44,"")</f>
        <v/>
      </c>
      <c r="Y44" s="15" t="str">
        <f>IFERROR(($O$26-O44)/W44,"")</f>
        <v/>
      </c>
      <c r="Z44" s="15" t="str">
        <f>IFERROR(($P$26-P44)/W44,"")</f>
        <v/>
      </c>
      <c r="AA44" s="15" t="str">
        <f>IFERROR(($Q$17-Q44)/W44,"")</f>
        <v/>
      </c>
      <c r="AB44" s="15" t="str">
        <f>IFERROR(($R$26-R44)/W44,"")</f>
        <v/>
      </c>
      <c r="AC44" s="15" t="str">
        <f>IFERROR(($S$26-S44)/W44,"")</f>
        <v/>
      </c>
      <c r="AD44" s="20" t="str">
        <f t="shared" si="29"/>
        <v/>
      </c>
      <c r="AE44" s="40" t="str">
        <f t="shared" si="26"/>
        <v/>
      </c>
      <c r="AG44" s="229"/>
      <c r="AH44" s="77">
        <f>'Sample ID'!$F$17</f>
        <v>0</v>
      </c>
      <c r="AI44" s="77" t="str">
        <f>IFERROR((X44*$AH$44),"")</f>
        <v/>
      </c>
      <c r="AJ44" s="77" t="str">
        <f t="shared" ref="AJ44:AN44" si="40">IFERROR((Y44*$AH$44),"")</f>
        <v/>
      </c>
      <c r="AK44" s="77" t="str">
        <f t="shared" si="40"/>
        <v/>
      </c>
      <c r="AL44" s="77" t="str">
        <f t="shared" si="40"/>
        <v/>
      </c>
      <c r="AM44" s="77" t="str">
        <f t="shared" si="40"/>
        <v/>
      </c>
      <c r="AN44" s="77" t="str">
        <f t="shared" si="40"/>
        <v/>
      </c>
      <c r="AO44" s="40" t="str">
        <f t="shared" si="37"/>
        <v/>
      </c>
      <c r="AP44" s="40" t="str">
        <f t="shared" si="28"/>
        <v/>
      </c>
      <c r="AQ44" s="15"/>
      <c r="AR44" s="15"/>
      <c r="AS44" s="15"/>
      <c r="AT44" s="43"/>
      <c r="AU44" s="41"/>
      <c r="AV44" s="41"/>
      <c r="AW44" s="41"/>
      <c r="AX44" s="41"/>
      <c r="AY44" s="41"/>
      <c r="AZ44" s="41"/>
      <c r="BA44" s="41"/>
      <c r="BB44" s="41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</row>
    <row r="45" spans="3:68">
      <c r="C45" s="199"/>
      <c r="D45" s="14" t="s">
        <v>20</v>
      </c>
      <c r="E45" s="15">
        <f>Data!H31</f>
        <v>0</v>
      </c>
      <c r="F45" s="15">
        <f>Data!I31</f>
        <v>0</v>
      </c>
      <c r="G45" s="15">
        <f>Data!J31</f>
        <v>0</v>
      </c>
      <c r="H45" s="15">
        <f>Data!K31</f>
        <v>0</v>
      </c>
      <c r="I45" s="15">
        <f>Data!L31</f>
        <v>0</v>
      </c>
      <c r="J45" s="15">
        <f>Data!M31</f>
        <v>0</v>
      </c>
      <c r="K45" s="15"/>
      <c r="L45" s="199"/>
      <c r="M45" s="129" t="s">
        <v>20</v>
      </c>
      <c r="N45" s="15" t="str">
        <f t="shared" si="35"/>
        <v xml:space="preserve"> </v>
      </c>
      <c r="O45" s="15" t="str">
        <f t="shared" si="35"/>
        <v xml:space="preserve"> </v>
      </c>
      <c r="P45" s="15" t="str">
        <f t="shared" si="35"/>
        <v xml:space="preserve"> </v>
      </c>
      <c r="Q45" s="15" t="str">
        <f t="shared" si="35"/>
        <v xml:space="preserve"> </v>
      </c>
      <c r="R45" s="15" t="str">
        <f t="shared" si="35"/>
        <v xml:space="preserve"> </v>
      </c>
      <c r="S45" s="15" t="str">
        <f t="shared" si="35"/>
        <v xml:space="preserve"> </v>
      </c>
      <c r="T45" s="20" t="str">
        <f t="shared" si="4"/>
        <v/>
      </c>
      <c r="U45" s="40" t="str">
        <f t="shared" si="5"/>
        <v/>
      </c>
      <c r="V45" s="109"/>
      <c r="W45" s="82">
        <v>5</v>
      </c>
      <c r="X45" s="20" t="str">
        <f>IFERROR(($N$27-N45)/W45,"")</f>
        <v/>
      </c>
      <c r="Y45" s="15" t="str">
        <f>IFERROR(($O$27-O45)/W45,"")</f>
        <v/>
      </c>
      <c r="Z45" s="15" t="str">
        <f>IFERROR(($P$27-P45)/W45,"")</f>
        <v/>
      </c>
      <c r="AA45" s="15" t="str">
        <f>IFERROR(($Q$18-Q45)/W45,"")</f>
        <v/>
      </c>
      <c r="AB45" s="15" t="str">
        <f>IFERROR(($R$27-R45)/W45,"")</f>
        <v/>
      </c>
      <c r="AC45" s="15" t="str">
        <f>IFERROR(($S$27-S45)/W45,"")</f>
        <v/>
      </c>
      <c r="AD45" s="20" t="str">
        <f t="shared" si="29"/>
        <v/>
      </c>
      <c r="AE45" s="40" t="str">
        <f t="shared" si="26"/>
        <v/>
      </c>
      <c r="AG45" s="229"/>
      <c r="AH45" s="77">
        <f>'Sample ID'!$F$18</f>
        <v>0</v>
      </c>
      <c r="AI45" s="77" t="str">
        <f>IFERROR((X45*$AH$45),"")</f>
        <v/>
      </c>
      <c r="AJ45" s="77" t="str">
        <f t="shared" ref="AJ45:AN45" si="41">IFERROR((Y45*$AH$45),"")</f>
        <v/>
      </c>
      <c r="AK45" s="77" t="str">
        <f t="shared" si="41"/>
        <v/>
      </c>
      <c r="AL45" s="77" t="str">
        <f t="shared" si="41"/>
        <v/>
      </c>
      <c r="AM45" s="77" t="str">
        <f t="shared" si="41"/>
        <v/>
      </c>
      <c r="AN45" s="77" t="str">
        <f t="shared" si="41"/>
        <v/>
      </c>
      <c r="AO45" s="40" t="str">
        <f t="shared" si="37"/>
        <v/>
      </c>
      <c r="AP45" s="40" t="str">
        <f t="shared" si="28"/>
        <v/>
      </c>
      <c r="AQ45" s="15"/>
      <c r="AR45" s="15"/>
      <c r="AS45" s="15"/>
      <c r="AT45" s="43"/>
      <c r="AU45" s="41"/>
      <c r="AV45" s="41"/>
      <c r="AW45" s="41"/>
      <c r="AX45" s="41"/>
      <c r="AY45" s="41"/>
      <c r="AZ45" s="41"/>
      <c r="BA45" s="41"/>
      <c r="BB45" s="41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</row>
    <row r="46" spans="3:68">
      <c r="C46" s="199"/>
      <c r="D46" s="14" t="s">
        <v>21</v>
      </c>
      <c r="E46" s="15">
        <f>Data!H32</f>
        <v>0</v>
      </c>
      <c r="F46" s="15">
        <f>Data!I32</f>
        <v>0</v>
      </c>
      <c r="G46" s="15">
        <f>Data!J32</f>
        <v>0</v>
      </c>
      <c r="H46" s="15">
        <f>Data!K32</f>
        <v>0</v>
      </c>
      <c r="I46" s="15">
        <f>Data!L32</f>
        <v>0</v>
      </c>
      <c r="J46" s="15">
        <f>Data!M32</f>
        <v>0</v>
      </c>
      <c r="K46" s="15"/>
      <c r="L46" s="199"/>
      <c r="M46" s="129" t="s">
        <v>21</v>
      </c>
      <c r="N46" s="15" t="str">
        <f t="shared" si="35"/>
        <v xml:space="preserve"> </v>
      </c>
      <c r="O46" s="15" t="str">
        <f t="shared" si="35"/>
        <v xml:space="preserve"> </v>
      </c>
      <c r="P46" s="15" t="str">
        <f t="shared" si="35"/>
        <v xml:space="preserve"> </v>
      </c>
      <c r="Q46" s="15" t="str">
        <f t="shared" si="35"/>
        <v xml:space="preserve"> </v>
      </c>
      <c r="R46" s="15" t="str">
        <f t="shared" si="35"/>
        <v xml:space="preserve"> </v>
      </c>
      <c r="S46" s="15" t="str">
        <f t="shared" si="35"/>
        <v xml:space="preserve"> </v>
      </c>
      <c r="T46" s="20" t="str">
        <f t="shared" si="4"/>
        <v/>
      </c>
      <c r="U46" s="40" t="str">
        <f t="shared" si="5"/>
        <v/>
      </c>
      <c r="V46" s="109"/>
      <c r="W46" s="82">
        <v>5</v>
      </c>
      <c r="X46" s="20" t="str">
        <f>IFERROR(($N$28-N46)/W46,"")</f>
        <v/>
      </c>
      <c r="Y46" s="15" t="str">
        <f>IFERROR(($O$28-O46)/W46,"")</f>
        <v/>
      </c>
      <c r="Z46" s="15" t="str">
        <f>IFERROR(($P$28-P46)/W46,"")</f>
        <v/>
      </c>
      <c r="AA46" s="15" t="str">
        <f>IFERROR(($Q$19-Q46)/W46,"")</f>
        <v/>
      </c>
      <c r="AB46" s="15" t="str">
        <f>IFERROR(($R$28-R46)/W46,"")</f>
        <v/>
      </c>
      <c r="AC46" s="15" t="str">
        <f>IFERROR(($S$28-S46)/W46,"")</f>
        <v/>
      </c>
      <c r="AD46" s="20" t="str">
        <f t="shared" si="29"/>
        <v/>
      </c>
      <c r="AE46" s="40" t="str">
        <f t="shared" si="26"/>
        <v/>
      </c>
      <c r="AG46" s="229"/>
      <c r="AH46" s="77">
        <f>'Sample ID'!$F$19</f>
        <v>0</v>
      </c>
      <c r="AI46" s="77" t="str">
        <f>IFERROR((X46*$AH$46),"")</f>
        <v/>
      </c>
      <c r="AJ46" s="77" t="str">
        <f t="shared" ref="AJ46:AN46" si="42">IFERROR((Y46*$AH$46),"")</f>
        <v/>
      </c>
      <c r="AK46" s="77" t="str">
        <f t="shared" si="42"/>
        <v/>
      </c>
      <c r="AL46" s="77" t="str">
        <f t="shared" si="42"/>
        <v/>
      </c>
      <c r="AM46" s="77" t="str">
        <f t="shared" si="42"/>
        <v/>
      </c>
      <c r="AN46" s="77" t="str">
        <f t="shared" si="42"/>
        <v/>
      </c>
      <c r="AO46" s="40" t="str">
        <f t="shared" si="37"/>
        <v/>
      </c>
      <c r="AP46" s="40" t="str">
        <f t="shared" si="28"/>
        <v/>
      </c>
      <c r="AQ46" s="15"/>
      <c r="AR46" s="15"/>
      <c r="AS46" s="15"/>
      <c r="AT46" s="43"/>
      <c r="AU46" s="41"/>
      <c r="AV46" s="41"/>
      <c r="AW46" s="41"/>
      <c r="AX46" s="41"/>
      <c r="AY46" s="41"/>
      <c r="AZ46" s="41"/>
      <c r="BA46" s="41"/>
      <c r="BB46" s="41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</row>
    <row r="47" spans="3:68">
      <c r="C47" s="199"/>
      <c r="D47" s="14" t="s">
        <v>22</v>
      </c>
      <c r="E47" s="15">
        <f>Data!H33</f>
        <v>0</v>
      </c>
      <c r="F47" s="15">
        <f>Data!I33</f>
        <v>0</v>
      </c>
      <c r="G47" s="15">
        <f>Data!J33</f>
        <v>0</v>
      </c>
      <c r="H47" s="15">
        <f>Data!K33</f>
        <v>0</v>
      </c>
      <c r="I47" s="15">
        <f>Data!L33</f>
        <v>0</v>
      </c>
      <c r="J47" s="15">
        <f>Data!M33</f>
        <v>0</v>
      </c>
      <c r="K47" s="15"/>
      <c r="L47" s="199"/>
      <c r="M47" s="129" t="s">
        <v>22</v>
      </c>
      <c r="N47" s="15" t="str">
        <f t="shared" si="35"/>
        <v xml:space="preserve"> </v>
      </c>
      <c r="O47" s="15" t="str">
        <f t="shared" si="35"/>
        <v xml:space="preserve"> </v>
      </c>
      <c r="P47" s="15" t="str">
        <f t="shared" si="35"/>
        <v xml:space="preserve"> </v>
      </c>
      <c r="Q47" s="15" t="str">
        <f t="shared" si="35"/>
        <v xml:space="preserve"> </v>
      </c>
      <c r="R47" s="15" t="str">
        <f t="shared" si="35"/>
        <v xml:space="preserve"> </v>
      </c>
      <c r="S47" s="15" t="str">
        <f t="shared" si="35"/>
        <v xml:space="preserve"> </v>
      </c>
      <c r="T47" s="20" t="str">
        <f t="shared" si="4"/>
        <v/>
      </c>
      <c r="U47" s="40" t="str">
        <f t="shared" si="5"/>
        <v/>
      </c>
      <c r="V47" s="109"/>
      <c r="W47" s="82">
        <v>5</v>
      </c>
      <c r="X47" s="20" t="str">
        <f>IFERROR(($N$29-N47)/W47,"")</f>
        <v/>
      </c>
      <c r="Y47" s="15" t="str">
        <f>IFERROR(($O$29-O47)/W47,"")</f>
        <v/>
      </c>
      <c r="Z47" s="15" t="str">
        <f>IFERROR(($P$29-P47)/W47,"")</f>
        <v/>
      </c>
      <c r="AA47" s="15" t="str">
        <f>IFERROR(($Q$20-Q47)/W47,"")</f>
        <v/>
      </c>
      <c r="AB47" s="15" t="str">
        <f>IFERROR(($R$29-R47)/W47,"")</f>
        <v/>
      </c>
      <c r="AC47" s="15" t="str">
        <f>IFERROR(($S$29-S47)/W47,"")</f>
        <v/>
      </c>
      <c r="AD47" s="20" t="str">
        <f t="shared" si="29"/>
        <v/>
      </c>
      <c r="AE47" s="40" t="str">
        <f t="shared" si="26"/>
        <v/>
      </c>
      <c r="AG47" s="229"/>
      <c r="AH47" s="77">
        <f>'Sample ID'!$F$20</f>
        <v>0</v>
      </c>
      <c r="AI47" s="77" t="str">
        <f>IFERROR((X47*$AH$47),"")</f>
        <v/>
      </c>
      <c r="AJ47" s="77" t="str">
        <f t="shared" ref="AJ47:AN47" si="43">IFERROR((Y47*$AH$47),"")</f>
        <v/>
      </c>
      <c r="AK47" s="77" t="str">
        <f t="shared" si="43"/>
        <v/>
      </c>
      <c r="AL47" s="77" t="str">
        <f t="shared" si="43"/>
        <v/>
      </c>
      <c r="AM47" s="77" t="str">
        <f t="shared" si="43"/>
        <v/>
      </c>
      <c r="AN47" s="77" t="str">
        <f t="shared" si="43"/>
        <v/>
      </c>
      <c r="AO47" s="40" t="str">
        <f t="shared" si="37"/>
        <v/>
      </c>
      <c r="AP47" s="40" t="str">
        <f t="shared" si="28"/>
        <v/>
      </c>
      <c r="AQ47" s="15"/>
      <c r="AR47" s="15"/>
      <c r="AS47" s="15"/>
      <c r="AT47" s="43"/>
      <c r="AU47" s="41"/>
      <c r="AV47" s="41"/>
      <c r="AW47" s="41"/>
      <c r="AX47" s="41"/>
      <c r="AY47" s="41"/>
      <c r="AZ47" s="41"/>
      <c r="BA47" s="41"/>
      <c r="BB47" s="41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</row>
    <row r="48" spans="3:68">
      <c r="C48" s="199"/>
      <c r="D48" s="14" t="s">
        <v>23</v>
      </c>
      <c r="E48" s="15">
        <f>Data!H34</f>
        <v>0</v>
      </c>
      <c r="F48" s="15">
        <f>Data!I34</f>
        <v>0</v>
      </c>
      <c r="G48" s="15">
        <f>Data!J34</f>
        <v>0</v>
      </c>
      <c r="H48" s="15">
        <f>Data!K34</f>
        <v>0</v>
      </c>
      <c r="I48" s="15">
        <f>Data!L34</f>
        <v>0</v>
      </c>
      <c r="J48" s="15">
        <f>Data!M34</f>
        <v>0</v>
      </c>
      <c r="K48" s="15"/>
      <c r="L48" s="199"/>
      <c r="M48" s="129" t="s">
        <v>23</v>
      </c>
      <c r="N48" s="15" t="str">
        <f t="shared" si="35"/>
        <v xml:space="preserve"> </v>
      </c>
      <c r="O48" s="15" t="str">
        <f t="shared" si="35"/>
        <v xml:space="preserve"> </v>
      </c>
      <c r="P48" s="15" t="str">
        <f t="shared" si="35"/>
        <v xml:space="preserve"> </v>
      </c>
      <c r="Q48" s="15" t="str">
        <f t="shared" si="35"/>
        <v xml:space="preserve"> </v>
      </c>
      <c r="R48" s="15" t="str">
        <f t="shared" si="35"/>
        <v xml:space="preserve"> </v>
      </c>
      <c r="S48" s="15" t="str">
        <f t="shared" si="35"/>
        <v xml:space="preserve"> </v>
      </c>
      <c r="T48" s="20" t="str">
        <f t="shared" si="4"/>
        <v/>
      </c>
      <c r="U48" s="40" t="str">
        <f t="shared" si="5"/>
        <v/>
      </c>
      <c r="V48" s="109"/>
      <c r="W48" s="82">
        <v>5</v>
      </c>
      <c r="X48" s="20" t="str">
        <f>IFERROR(($N$30-N48)/W48,"")</f>
        <v/>
      </c>
      <c r="Y48" s="15" t="str">
        <f>IFERROR(($O$30-O48)/W48,"")</f>
        <v/>
      </c>
      <c r="Z48" s="15" t="str">
        <f>IFERROR(($P$30-P48)/W48,"")</f>
        <v/>
      </c>
      <c r="AA48" s="15" t="str">
        <f>IFERROR(($Q$21-Q48)/W48,"")</f>
        <v/>
      </c>
      <c r="AB48" s="17" t="str">
        <f>IFERROR(($R$30-R48)/W48,"")</f>
        <v/>
      </c>
      <c r="AC48" s="15" t="str">
        <f>IFERROR(($S$30-S48)/W48,"")</f>
        <v/>
      </c>
      <c r="AD48" s="20" t="str">
        <f>IFERROR(AVERAGE(X48:AC48), "")</f>
        <v/>
      </c>
      <c r="AE48" s="40" t="str">
        <f t="shared" si="26"/>
        <v/>
      </c>
      <c r="AG48" s="230"/>
      <c r="AH48" s="77">
        <f>'Sample ID'!$F$21</f>
        <v>0</v>
      </c>
      <c r="AI48" s="77" t="str">
        <f>IFERROR((X48*$AH$48),"")</f>
        <v/>
      </c>
      <c r="AJ48" s="77" t="str">
        <f t="shared" ref="AJ48:AN48" si="44">IFERROR((Y48*$AH$48),"")</f>
        <v/>
      </c>
      <c r="AK48" s="77" t="str">
        <f t="shared" si="44"/>
        <v/>
      </c>
      <c r="AL48" s="77" t="str">
        <f t="shared" si="44"/>
        <v/>
      </c>
      <c r="AM48" s="77" t="str">
        <f t="shared" si="44"/>
        <v/>
      </c>
      <c r="AN48" s="77" t="str">
        <f t="shared" si="44"/>
        <v/>
      </c>
      <c r="AO48" s="40" t="str">
        <f t="shared" si="37"/>
        <v/>
      </c>
      <c r="AP48" s="40" t="str">
        <f t="shared" si="28"/>
        <v/>
      </c>
      <c r="AQ48" s="15"/>
      <c r="AR48" s="15"/>
      <c r="AS48" s="15"/>
      <c r="AT48" s="43"/>
      <c r="AU48" s="41"/>
      <c r="AV48" s="41"/>
      <c r="AW48" s="41"/>
      <c r="AX48" s="41"/>
      <c r="AY48" s="41"/>
      <c r="AZ48" s="41"/>
      <c r="BA48" s="41"/>
      <c r="BB48" s="41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</row>
    <row r="49" spans="3:68">
      <c r="C49" s="199">
        <v>10</v>
      </c>
      <c r="D49" s="50"/>
      <c r="E49" s="58">
        <v>1</v>
      </c>
      <c r="F49" s="58">
        <v>2</v>
      </c>
      <c r="G49" s="59">
        <v>3</v>
      </c>
      <c r="H49" s="56">
        <v>4</v>
      </c>
      <c r="I49" s="56">
        <v>5</v>
      </c>
      <c r="J49" s="57">
        <v>6</v>
      </c>
      <c r="K49" s="19"/>
      <c r="L49" s="199">
        <v>10</v>
      </c>
      <c r="M49" s="38"/>
      <c r="N49" s="59">
        <v>1</v>
      </c>
      <c r="O49" s="38">
        <v>2</v>
      </c>
      <c r="P49" s="38">
        <v>3</v>
      </c>
      <c r="Q49" s="38">
        <v>4</v>
      </c>
      <c r="R49" s="38">
        <v>5</v>
      </c>
      <c r="S49" s="50">
        <v>6</v>
      </c>
      <c r="T49" s="38" t="s">
        <v>24</v>
      </c>
      <c r="U49" s="51" t="s">
        <v>3</v>
      </c>
      <c r="V49" s="109"/>
      <c r="W49" s="38" t="s">
        <v>34</v>
      </c>
      <c r="X49" s="38">
        <v>1</v>
      </c>
      <c r="Y49" s="38">
        <v>2</v>
      </c>
      <c r="Z49" s="38">
        <v>3</v>
      </c>
      <c r="AA49" s="38">
        <v>4</v>
      </c>
      <c r="AB49" s="38">
        <v>5</v>
      </c>
      <c r="AC49" s="50">
        <v>6</v>
      </c>
      <c r="AD49" s="50" t="s">
        <v>49</v>
      </c>
      <c r="AE49" s="51" t="s">
        <v>3</v>
      </c>
      <c r="AF49" s="69"/>
      <c r="AG49" s="231">
        <v>10</v>
      </c>
      <c r="AH49" s="38" t="s">
        <v>35</v>
      </c>
      <c r="AI49" s="38"/>
      <c r="AJ49" s="38"/>
      <c r="AK49" s="38"/>
      <c r="AL49" s="38"/>
      <c r="AM49" s="38"/>
      <c r="AN49" s="38"/>
      <c r="AO49" s="52" t="s">
        <v>36</v>
      </c>
      <c r="AP49" s="51" t="s">
        <v>3</v>
      </c>
      <c r="AQ49" s="15"/>
      <c r="AR49" s="15"/>
      <c r="AS49" s="15"/>
      <c r="AT49" s="43"/>
      <c r="AU49" s="41"/>
      <c r="AV49" s="41"/>
      <c r="AW49" s="41"/>
      <c r="AX49" s="41"/>
      <c r="AY49" s="41"/>
      <c r="AZ49" s="41"/>
      <c r="BA49" s="41"/>
      <c r="BB49" s="41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</row>
    <row r="50" spans="3:68">
      <c r="C50" s="199"/>
      <c r="D50" s="14" t="s">
        <v>16</v>
      </c>
      <c r="E50" s="15">
        <f>Data!B39</f>
        <v>1.9630000000000001</v>
      </c>
      <c r="F50" s="15">
        <f>Data!C39</f>
        <v>1.956</v>
      </c>
      <c r="G50" s="15">
        <f>Data!D39</f>
        <v>1.986</v>
      </c>
      <c r="H50" s="15">
        <f>Data!E39</f>
        <v>1.9630000000000001</v>
      </c>
      <c r="I50" s="15">
        <f>Data!F39</f>
        <v>1.956</v>
      </c>
      <c r="J50" s="15">
        <f>Data!G39</f>
        <v>1.986</v>
      </c>
      <c r="K50" s="15"/>
      <c r="L50" s="199"/>
      <c r="M50" s="129" t="s">
        <v>16</v>
      </c>
      <c r="N50" s="15">
        <f t="shared" ref="N50:S57" si="45">IF(((E50-$P$11)/$P$10)&gt;0,((E50-$P$11)/$P$10)," ")</f>
        <v>1.7236465382613226</v>
      </c>
      <c r="O50" s="15">
        <f t="shared" si="45"/>
        <v>1.7168141592920358</v>
      </c>
      <c r="P50" s="15">
        <f t="shared" si="45"/>
        <v>1.7460957834461222</v>
      </c>
      <c r="Q50" s="15">
        <f t="shared" si="45"/>
        <v>1.7236465382613226</v>
      </c>
      <c r="R50" s="15">
        <f t="shared" si="45"/>
        <v>1.7168141592920358</v>
      </c>
      <c r="S50" s="15">
        <f t="shared" si="45"/>
        <v>1.7460957834461222</v>
      </c>
      <c r="T50" s="20">
        <f t="shared" ref="T50:T80" si="46">IFERROR(AVERAGE(N50:S50),"")</f>
        <v>1.7288521603331606</v>
      </c>
      <c r="U50" s="40">
        <f t="shared" ref="U50:U80" si="47">IFERROR(STDEV(N50:S50),"")</f>
        <v>1.3701890501427736E-2</v>
      </c>
      <c r="V50" s="109"/>
      <c r="W50" s="82">
        <v>10</v>
      </c>
      <c r="X50" s="20">
        <f>IFERROR(($N$14-N50)/W50,"")</f>
        <v>7.8084331077563627E-4</v>
      </c>
      <c r="Y50" s="15">
        <f>IFERROR(($O$14-O50)/W50,"")</f>
        <v>1.3664757938573579E-3</v>
      </c>
      <c r="Z50" s="15">
        <f>IFERROR(($P$14-P50)/W50,"")</f>
        <v>1.2688703800104229E-3</v>
      </c>
      <c r="AA50" s="15">
        <f>IFERROR(($Q$14-Q50)/W50,"")</f>
        <v>7.8084331077563627E-4</v>
      </c>
      <c r="AB50" s="15">
        <f>IFERROR(($R$14-R50)/W50,"")</f>
        <v>1.3664757938573579E-3</v>
      </c>
      <c r="AC50" s="15">
        <f>IFERROR(($S$14-S50)/W50,"")</f>
        <v>1.2688703800104229E-3</v>
      </c>
      <c r="AD50" s="20">
        <f>IFERROR(AVERAGE(X50:AC50), "")</f>
        <v>1.1387298282144725E-3</v>
      </c>
      <c r="AE50" s="40">
        <f>IFERROR(STDEV(X50:AC50), "")</f>
        <v>2.8063324639312657E-4</v>
      </c>
      <c r="AG50" s="229"/>
      <c r="AH50" s="76">
        <f>'Sample ID'!$F$6</f>
        <v>1</v>
      </c>
      <c r="AI50" s="77">
        <f>IFERROR((X50*$AH$32),"")</f>
        <v>7.8084331077563627E-4</v>
      </c>
      <c r="AJ50" s="77">
        <f t="shared" ref="AJ50" si="48">IFERROR((Y50*$AH$32),"")</f>
        <v>1.3664757938573579E-3</v>
      </c>
      <c r="AK50" s="77">
        <f t="shared" ref="AK50" si="49">IFERROR((Z50*$AH$32),"")</f>
        <v>1.2688703800104229E-3</v>
      </c>
      <c r="AL50" s="77">
        <f t="shared" ref="AL50" si="50">IFERROR((AA50*$AH$32),"")</f>
        <v>7.8084331077563627E-4</v>
      </c>
      <c r="AM50" s="77">
        <f t="shared" ref="AM50" si="51">IFERROR((AB50*$AH$32),"")</f>
        <v>1.3664757938573579E-3</v>
      </c>
      <c r="AN50" s="77">
        <f t="shared" ref="AN50" si="52">IFERROR((AC50*$AH$32),"")</f>
        <v>1.2688703800104229E-3</v>
      </c>
      <c r="AO50" s="40">
        <f t="shared" ref="AO50:AO57" si="53">IFERROR(AD50*AH50,"")</f>
        <v>1.1387298282144725E-3</v>
      </c>
      <c r="AP50" s="40">
        <f>IFERROR(STDEV(AI50:AN50), "")</f>
        <v>2.8063324639312657E-4</v>
      </c>
      <c r="AQ50" s="15"/>
      <c r="AR50" s="15"/>
      <c r="AS50" s="15"/>
      <c r="AT50" s="43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</row>
    <row r="51" spans="3:68">
      <c r="C51" s="199"/>
      <c r="D51" s="14" t="s">
        <v>17</v>
      </c>
      <c r="E51" s="15">
        <f>Data!B40</f>
        <v>1.984</v>
      </c>
      <c r="F51" s="15">
        <f>Data!C40</f>
        <v>1.998</v>
      </c>
      <c r="G51" s="15">
        <f>Data!D40</f>
        <v>2.0070000000000001</v>
      </c>
      <c r="H51" s="15">
        <f>Data!E40</f>
        <v>1.984</v>
      </c>
      <c r="I51" s="15">
        <f>Data!F40</f>
        <v>1.998</v>
      </c>
      <c r="J51" s="15">
        <f>Data!G40</f>
        <v>2.0070000000000001</v>
      </c>
      <c r="K51" s="15"/>
      <c r="L51" s="199"/>
      <c r="M51" s="129" t="s">
        <v>17</v>
      </c>
      <c r="N51" s="15">
        <f t="shared" si="45"/>
        <v>1.744143675169183</v>
      </c>
      <c r="O51" s="15">
        <f t="shared" si="45"/>
        <v>1.7578084331077568</v>
      </c>
      <c r="P51" s="15">
        <f t="shared" si="45"/>
        <v>1.7665929203539827</v>
      </c>
      <c r="Q51" s="15">
        <f t="shared" si="45"/>
        <v>1.744143675169183</v>
      </c>
      <c r="R51" s="15">
        <f t="shared" si="45"/>
        <v>1.7578084331077568</v>
      </c>
      <c r="S51" s="15">
        <f t="shared" si="45"/>
        <v>1.7665929203539827</v>
      </c>
      <c r="T51" s="20">
        <f t="shared" si="46"/>
        <v>1.7561816762103073</v>
      </c>
      <c r="U51" s="40">
        <f t="shared" si="47"/>
        <v>1.0118375594703438E-2</v>
      </c>
      <c r="V51" s="109"/>
      <c r="W51" s="82">
        <v>10</v>
      </c>
      <c r="X51" s="20">
        <f>IFERROR(($N$15-N51)/W51,"")</f>
        <v>-2.0497136907860368E-3</v>
      </c>
      <c r="Y51" s="15">
        <f>IFERROR(($O$15-O51)/W51,"")</f>
        <v>-3.7090057261842889E-3</v>
      </c>
      <c r="Z51" s="15">
        <f>IFERROR(($P$15-P51)/W51,"")</f>
        <v>-3.416189484643417E-3</v>
      </c>
      <c r="AA51" s="15">
        <f>IFERROR(($Q$15-Q51)/W51,"")</f>
        <v>-2.0497136907860368E-3</v>
      </c>
      <c r="AB51" s="15">
        <f>IFERROR(($R$15-R51)/W51,"")</f>
        <v>-3.7090057261842889E-3</v>
      </c>
      <c r="AC51" s="15">
        <f>IFERROR(($S$15-S51)/W51,"")</f>
        <v>-3.416189484643417E-3</v>
      </c>
      <c r="AD51" s="20">
        <f>IFERROR(AVERAGE(X51:AC51), "")</f>
        <v>-3.0583029672045809E-3</v>
      </c>
      <c r="AE51" s="40">
        <f>IFERROR(STDEV(X51:AC51), "")</f>
        <v>7.9214876593094172E-4</v>
      </c>
      <c r="AG51" s="229"/>
      <c r="AH51" s="77">
        <f>'Sample ID'!$F$7</f>
        <v>1</v>
      </c>
      <c r="AI51" s="77">
        <f>IFERROR((X51*$AH$33),"")</f>
        <v>-2.0497136907860368E-3</v>
      </c>
      <c r="AJ51" s="77">
        <f t="shared" ref="AJ51" si="54">IFERROR((Y51*$AH$33),"")</f>
        <v>-3.7090057261842889E-3</v>
      </c>
      <c r="AK51" s="77">
        <f t="shared" ref="AK51" si="55">IFERROR((Z51*$AH$33),"")</f>
        <v>-3.416189484643417E-3</v>
      </c>
      <c r="AL51" s="77">
        <f t="shared" ref="AL51" si="56">IFERROR((AA51*$AH$33),"")</f>
        <v>-2.0497136907860368E-3</v>
      </c>
      <c r="AM51" s="77">
        <f t="shared" ref="AM51" si="57">IFERROR((AB51*$AH$33),"")</f>
        <v>-3.7090057261842889E-3</v>
      </c>
      <c r="AN51" s="77">
        <f t="shared" ref="AN51" si="58">IFERROR((AC51*$AH$33),"")</f>
        <v>-3.416189484643417E-3</v>
      </c>
      <c r="AO51" s="40">
        <f t="shared" si="53"/>
        <v>-3.0583029672045809E-3</v>
      </c>
      <c r="AP51" s="40">
        <f>IFERROR(STDEV(AI51:AN51), "")</f>
        <v>7.9214876593094172E-4</v>
      </c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</row>
    <row r="52" spans="3:68">
      <c r="C52" s="199"/>
      <c r="D52" s="14" t="s">
        <v>18</v>
      </c>
      <c r="E52" s="15">
        <f>Data!B41</f>
        <v>2.0009999999999999</v>
      </c>
      <c r="F52" s="15">
        <f>Data!C41</f>
        <v>2.0179999999999998</v>
      </c>
      <c r="G52" s="15">
        <f>Data!D41</f>
        <v>2.0270000000000001</v>
      </c>
      <c r="H52" s="15">
        <f>Data!E41</f>
        <v>2.0009999999999999</v>
      </c>
      <c r="I52" s="15">
        <f>Data!F41</f>
        <v>2.0179999999999998</v>
      </c>
      <c r="J52" s="15">
        <f>Data!G41</f>
        <v>2.0270000000000001</v>
      </c>
      <c r="K52" s="15"/>
      <c r="L52" s="199"/>
      <c r="M52" s="129" t="s">
        <v>18</v>
      </c>
      <c r="N52" s="15">
        <f t="shared" si="45"/>
        <v>1.7607365955231653</v>
      </c>
      <c r="O52" s="15">
        <f t="shared" si="45"/>
        <v>1.7773295158771476</v>
      </c>
      <c r="P52" s="15">
        <f t="shared" si="45"/>
        <v>1.7861140031233738</v>
      </c>
      <c r="Q52" s="15">
        <f t="shared" si="45"/>
        <v>1.7607365955231653</v>
      </c>
      <c r="R52" s="15">
        <f t="shared" si="45"/>
        <v>1.7773295158771476</v>
      </c>
      <c r="S52" s="15">
        <f t="shared" si="45"/>
        <v>1.7861140031233738</v>
      </c>
      <c r="T52" s="20">
        <f t="shared" si="46"/>
        <v>1.774726704841229</v>
      </c>
      <c r="U52" s="40">
        <f t="shared" si="47"/>
        <v>1.1526809553152327E-2</v>
      </c>
      <c r="V52" s="109"/>
      <c r="W52" s="82">
        <v>10</v>
      </c>
      <c r="X52" s="20">
        <f>IFERROR(($N$16-N52)/W52,"")</f>
        <v>-2.1473191046329941E-3</v>
      </c>
      <c r="Y52" s="15">
        <f>IFERROR(($O$16-O52)/W52,"")</f>
        <v>-1.756897449245165E-3</v>
      </c>
      <c r="Z52" s="15">
        <f>IFERROR(($P$16-P52)/W52,"")</f>
        <v>0</v>
      </c>
      <c r="AA52" s="15">
        <f>IFERROR(($Q$16-Q52)/W52,"")</f>
        <v>-2.1473191046329941E-3</v>
      </c>
      <c r="AB52" s="15">
        <f>IFERROR(($R$16-R52)/W52,"")</f>
        <v>-1.756897449245165E-3</v>
      </c>
      <c r="AC52" s="15">
        <f>IFERROR(($S$16-S52)/W52,"")</f>
        <v>0</v>
      </c>
      <c r="AD52" s="20">
        <f>IFERROR(AVERAGE(X52:AC52), "")</f>
        <v>-1.3014055179593864E-3</v>
      </c>
      <c r="AE52" s="40">
        <f t="shared" ref="AE52:AE57" si="59">IFERROR(STDEV(X52:AC52), "")</f>
        <v>1.0230736078622291E-3</v>
      </c>
      <c r="AG52" s="229"/>
      <c r="AH52" s="77">
        <f>'Sample ID'!$F$8</f>
        <v>1</v>
      </c>
      <c r="AI52" s="77">
        <f>IFERROR((X52*$AH$34),"")</f>
        <v>-2.1473191046329941E-3</v>
      </c>
      <c r="AJ52" s="77">
        <f t="shared" ref="AJ52" si="60">IFERROR((Y52*$AH$34),"")</f>
        <v>-1.756897449245165E-3</v>
      </c>
      <c r="AK52" s="77">
        <f t="shared" ref="AK52" si="61">IFERROR((Z52*$AH$34),"")</f>
        <v>0</v>
      </c>
      <c r="AL52" s="77">
        <f t="shared" ref="AL52" si="62">IFERROR((AA52*$AH$34),"")</f>
        <v>-2.1473191046329941E-3</v>
      </c>
      <c r="AM52" s="77">
        <f t="shared" ref="AM52" si="63">IFERROR((AB52*$AH$34),"")</f>
        <v>-1.756897449245165E-3</v>
      </c>
      <c r="AN52" s="77">
        <f t="shared" ref="AN52" si="64">IFERROR((AC52*$AH$34),"")</f>
        <v>0</v>
      </c>
      <c r="AO52" s="40">
        <f t="shared" si="53"/>
        <v>-1.3014055179593864E-3</v>
      </c>
      <c r="AP52" s="40">
        <f t="shared" ref="AP52:AP57" si="65">IFERROR(STDEV(AI52:AN52), "")</f>
        <v>1.0230736078622291E-3</v>
      </c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</row>
    <row r="53" spans="3:68">
      <c r="C53" s="199"/>
      <c r="D53" s="14" t="s">
        <v>19</v>
      </c>
      <c r="E53" s="15">
        <f>Data!B42</f>
        <v>2.1970000000000001</v>
      </c>
      <c r="F53" s="15">
        <f>Data!C42</f>
        <v>2.218</v>
      </c>
      <c r="G53" s="15">
        <f>Data!D42</f>
        <v>2.2040000000000002</v>
      </c>
      <c r="H53" s="15">
        <f>Data!E42</f>
        <v>2.1970000000000001</v>
      </c>
      <c r="I53" s="15">
        <f>Data!F42</f>
        <v>2.218</v>
      </c>
      <c r="J53" s="15">
        <f>Data!G42</f>
        <v>2.2040000000000002</v>
      </c>
      <c r="K53" s="15"/>
      <c r="L53" s="199"/>
      <c r="M53" s="129" t="s">
        <v>19</v>
      </c>
      <c r="N53" s="15">
        <f t="shared" si="45"/>
        <v>1.9520432066631968</v>
      </c>
      <c r="O53" s="15">
        <f t="shared" si="45"/>
        <v>1.9725403435710571</v>
      </c>
      <c r="P53" s="15">
        <f t="shared" si="45"/>
        <v>1.9588755856324838</v>
      </c>
      <c r="Q53" s="15">
        <f t="shared" si="45"/>
        <v>1.9520432066631968</v>
      </c>
      <c r="R53" s="15">
        <f t="shared" si="45"/>
        <v>1.9725403435710571</v>
      </c>
      <c r="S53" s="15">
        <f t="shared" si="45"/>
        <v>1.9588755856324838</v>
      </c>
      <c r="T53" s="20">
        <f t="shared" si="46"/>
        <v>1.9611530452889125</v>
      </c>
      <c r="U53" s="40">
        <f t="shared" si="47"/>
        <v>9.3348067883545823E-3</v>
      </c>
      <c r="V53" s="109"/>
      <c r="W53" s="82">
        <v>10</v>
      </c>
      <c r="X53" s="20">
        <f>IFERROR(($N$17-N53)/W53,"")</f>
        <v>-1.4347995835502369E-2</v>
      </c>
      <c r="Y53" s="15">
        <f>IFERROR(($O$17-O53)/W53,"")</f>
        <v>-1.6690525767829235E-2</v>
      </c>
      <c r="Z53" s="15">
        <f>IFERROR(($P$17-P53)/W53,"")</f>
        <v>-1.4543206663196261E-2</v>
      </c>
      <c r="AA53" s="15">
        <f>IFERROR(($Q$17-Q53)/W53,"")</f>
        <v>-1.4347995835502369E-2</v>
      </c>
      <c r="AB53" s="15">
        <f>IFERROR(($R$17-R53)/W53,"")</f>
        <v>-1.6690525767829235E-2</v>
      </c>
      <c r="AC53" s="15">
        <f>IFERROR(($S$17-S53)/W53,"")</f>
        <v>-1.4543206663196261E-2</v>
      </c>
      <c r="AD53" s="20">
        <f t="shared" ref="AD53:AD57" si="66">IFERROR(AVERAGE(X53:AC53), "")</f>
        <v>-1.5193909422175958E-2</v>
      </c>
      <c r="AE53" s="40">
        <f t="shared" si="59"/>
        <v>1.1625565556547062E-3</v>
      </c>
      <c r="AG53" s="229"/>
      <c r="AH53" s="77">
        <f>'Sample ID'!$F$9</f>
        <v>1</v>
      </c>
      <c r="AI53" s="77">
        <f>IFERROR((X53*$AH$35),"")</f>
        <v>-1.4347995835502369E-2</v>
      </c>
      <c r="AJ53" s="77">
        <f t="shared" ref="AJ53" si="67">IFERROR((Y53*$AH$35),"")</f>
        <v>-1.6690525767829235E-2</v>
      </c>
      <c r="AK53" s="77">
        <f t="shared" ref="AK53" si="68">IFERROR((Z53*$AH$35),"")</f>
        <v>-1.4543206663196261E-2</v>
      </c>
      <c r="AL53" s="77">
        <f t="shared" ref="AL53" si="69">IFERROR((AA53*$AH$35),"")</f>
        <v>-1.4347995835502369E-2</v>
      </c>
      <c r="AM53" s="77">
        <f t="shared" ref="AM53" si="70">IFERROR((AB53*$AH$35),"")</f>
        <v>-1.6690525767829235E-2</v>
      </c>
      <c r="AN53" s="77">
        <f t="shared" ref="AN53" si="71">IFERROR((AC53*$AH$35),"")</f>
        <v>-1.4543206663196261E-2</v>
      </c>
      <c r="AO53" s="40">
        <f t="shared" si="53"/>
        <v>-1.5193909422175958E-2</v>
      </c>
      <c r="AP53" s="40">
        <f t="shared" si="65"/>
        <v>1.1625565556547062E-3</v>
      </c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</row>
    <row r="54" spans="3:68">
      <c r="C54" s="199"/>
      <c r="D54" s="14" t="s">
        <v>20</v>
      </c>
      <c r="E54" s="15">
        <f>Data!B43</f>
        <v>2.1709999999999998</v>
      </c>
      <c r="F54" s="15">
        <f>Data!C43</f>
        <v>2.161</v>
      </c>
      <c r="G54" s="15">
        <f>Data!D43</f>
        <v>2.1669999999999998</v>
      </c>
      <c r="H54" s="15">
        <f>Data!E43</f>
        <v>2.1709999999999998</v>
      </c>
      <c r="I54" s="15">
        <f>Data!F43</f>
        <v>2.161</v>
      </c>
      <c r="J54" s="15">
        <f>Data!G43</f>
        <v>2.1669999999999998</v>
      </c>
      <c r="K54" s="15"/>
      <c r="L54" s="199"/>
      <c r="M54" s="129" t="s">
        <v>20</v>
      </c>
      <c r="N54" s="15">
        <f t="shared" si="45"/>
        <v>1.9266657990629883</v>
      </c>
      <c r="O54" s="15">
        <f t="shared" si="45"/>
        <v>1.916905257678293</v>
      </c>
      <c r="P54" s="15">
        <f t="shared" si="45"/>
        <v>1.92276158250911</v>
      </c>
      <c r="Q54" s="15">
        <f t="shared" si="45"/>
        <v>1.9266657990629883</v>
      </c>
      <c r="R54" s="15">
        <f t="shared" si="45"/>
        <v>1.916905257678293</v>
      </c>
      <c r="S54" s="15">
        <f t="shared" si="45"/>
        <v>1.92276158250911</v>
      </c>
      <c r="T54" s="20">
        <f t="shared" si="46"/>
        <v>1.9221108797501305</v>
      </c>
      <c r="U54" s="40">
        <f t="shared" si="47"/>
        <v>4.3940507590145171E-3</v>
      </c>
      <c r="V54" s="109"/>
      <c r="W54" s="82">
        <v>10</v>
      </c>
      <c r="X54" s="20">
        <f>IFERROR(($N$18-N54)/W54,"")</f>
        <v>-7.8084331077563403E-3</v>
      </c>
      <c r="Y54" s="15">
        <f>IFERROR(($O$18-O54)/W54,"")</f>
        <v>-9.1749089016137202E-3</v>
      </c>
      <c r="Z54" s="15">
        <f>IFERROR(($P$18-P54)/W54,"")</f>
        <v>-7.6132222800624483E-3</v>
      </c>
      <c r="AA54" s="15">
        <f>IFERROR(($Q$18-Q54)/W54,"")</f>
        <v>-7.8084331077563403E-3</v>
      </c>
      <c r="AB54" s="15">
        <f>IFERROR(($R$18-R54)/W54,"")</f>
        <v>-9.1749089016137202E-3</v>
      </c>
      <c r="AC54" s="15">
        <f>IFERROR(($S$18-S54)/W54,"")</f>
        <v>-7.6132222800624483E-3</v>
      </c>
      <c r="AD54" s="20">
        <f t="shared" si="66"/>
        <v>-8.1988547631441696E-3</v>
      </c>
      <c r="AE54" s="40">
        <f t="shared" si="59"/>
        <v>7.6107191656499111E-4</v>
      </c>
      <c r="AG54" s="229"/>
      <c r="AH54" s="77">
        <f>'Sample ID'!$F$10</f>
        <v>1</v>
      </c>
      <c r="AI54" s="77">
        <f>IFERROR((X54*$AH$36),"")</f>
        <v>-7.8084331077563403E-3</v>
      </c>
      <c r="AJ54" s="77">
        <f t="shared" ref="AJ54" si="72">IFERROR((Y54*$AH$36),"")</f>
        <v>-9.1749089016137202E-3</v>
      </c>
      <c r="AK54" s="77">
        <f t="shared" ref="AK54" si="73">IFERROR((Z54*$AH$36),"")</f>
        <v>-7.6132222800624483E-3</v>
      </c>
      <c r="AL54" s="77">
        <f t="shared" ref="AL54" si="74">IFERROR((AA54*$AH$36),"")</f>
        <v>-7.8084331077563403E-3</v>
      </c>
      <c r="AM54" s="77">
        <f t="shared" ref="AM54" si="75">IFERROR((AB54*$AH$36),"")</f>
        <v>-9.1749089016137202E-3</v>
      </c>
      <c r="AN54" s="77">
        <f t="shared" ref="AN54" si="76">IFERROR((AC54*$AH$36),"")</f>
        <v>-7.6132222800624483E-3</v>
      </c>
      <c r="AO54" s="40">
        <f t="shared" si="53"/>
        <v>-8.1988547631441696E-3</v>
      </c>
      <c r="AP54" s="40">
        <f t="shared" si="65"/>
        <v>7.6107191656499111E-4</v>
      </c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</row>
    <row r="55" spans="3:68">
      <c r="C55" s="199"/>
      <c r="D55" s="14" t="s">
        <v>21</v>
      </c>
      <c r="E55" s="15">
        <f>Data!B44</f>
        <v>1.7829999999999999</v>
      </c>
      <c r="F55" s="15">
        <f>Data!C44</f>
        <v>1.823</v>
      </c>
      <c r="G55" s="15">
        <f>Data!D44</f>
        <v>1.7729999999999999</v>
      </c>
      <c r="H55" s="15">
        <f>Data!E44</f>
        <v>1.7829999999999999</v>
      </c>
      <c r="I55" s="15">
        <f>Data!F44</f>
        <v>1.823</v>
      </c>
      <c r="J55" s="15">
        <f>Data!G44</f>
        <v>1.7729999999999999</v>
      </c>
      <c r="K55" s="15"/>
      <c r="L55" s="199"/>
      <c r="M55" s="129" t="s">
        <v>21</v>
      </c>
      <c r="N55" s="15">
        <f t="shared" si="45"/>
        <v>1.5479567933368039</v>
      </c>
      <c r="O55" s="15">
        <f t="shared" si="45"/>
        <v>1.586998958875586</v>
      </c>
      <c r="P55" s="15">
        <f t="shared" si="45"/>
        <v>1.5381962519521086</v>
      </c>
      <c r="Q55" s="15">
        <f t="shared" si="45"/>
        <v>1.5479567933368039</v>
      </c>
      <c r="R55" s="15">
        <f t="shared" si="45"/>
        <v>1.586998958875586</v>
      </c>
      <c r="S55" s="15">
        <f t="shared" si="45"/>
        <v>1.5381962519521086</v>
      </c>
      <c r="T55" s="20">
        <f t="shared" si="46"/>
        <v>1.5577173347214994</v>
      </c>
      <c r="U55" s="40">
        <f t="shared" si="47"/>
        <v>2.3097656623241616E-2</v>
      </c>
      <c r="V55" s="109"/>
      <c r="W55" s="82">
        <v>10</v>
      </c>
      <c r="X55" s="20">
        <f>IFERROR(($N$19-N55)/W55,"")</f>
        <v>1.1127017178552866E-2</v>
      </c>
      <c r="Y55" s="15">
        <f>IFERROR(($O$19-O55)/W55,"")</f>
        <v>1.0834200937011974E-2</v>
      </c>
      <c r="Z55" s="15">
        <f>IFERROR(($P$19-P55)/W55,"")</f>
        <v>1.1907860489328482E-2</v>
      </c>
      <c r="AA55" s="15">
        <f>IFERROR(($Q$19-Q55)/W55,"")</f>
        <v>1.1127017178552866E-2</v>
      </c>
      <c r="AB55" s="15">
        <f>IFERROR(($R$19-R55)/W55,"")</f>
        <v>1.0834200937011974E-2</v>
      </c>
      <c r="AC55" s="15">
        <f>IFERROR(($S$19-S55)/W55,"")</f>
        <v>1.1907860489328482E-2</v>
      </c>
      <c r="AD55" s="20">
        <f t="shared" si="66"/>
        <v>1.1289692868297773E-2</v>
      </c>
      <c r="AE55" s="40">
        <f t="shared" si="59"/>
        <v>4.9641413645915206E-4</v>
      </c>
      <c r="AG55" s="229"/>
      <c r="AH55" s="77">
        <f>'Sample ID'!$F$11</f>
        <v>0</v>
      </c>
      <c r="AI55" s="77">
        <f>IFERROR((X55*$AH$37),"")</f>
        <v>0</v>
      </c>
      <c r="AJ55" s="77">
        <f t="shared" ref="AJ55" si="77">IFERROR((Y55*$AH$37),"")</f>
        <v>0</v>
      </c>
      <c r="AK55" s="77">
        <f t="shared" ref="AK55" si="78">IFERROR((Z55*$AH$37),"")</f>
        <v>0</v>
      </c>
      <c r="AL55" s="77">
        <f t="shared" ref="AL55" si="79">IFERROR((AA55*$AH$37),"")</f>
        <v>0</v>
      </c>
      <c r="AM55" s="77">
        <f t="shared" ref="AM55" si="80">IFERROR((AB55*$AH$37),"")</f>
        <v>0</v>
      </c>
      <c r="AN55" s="77">
        <f t="shared" ref="AN55" si="81">IFERROR((AC55*$AH$37),"")</f>
        <v>0</v>
      </c>
      <c r="AO55" s="40">
        <f t="shared" si="53"/>
        <v>0</v>
      </c>
      <c r="AP55" s="40">
        <f t="shared" si="65"/>
        <v>0</v>
      </c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</row>
    <row r="56" spans="3:68">
      <c r="C56" s="199"/>
      <c r="D56" s="14" t="s">
        <v>22</v>
      </c>
      <c r="E56" s="15">
        <f>Data!B45</f>
        <v>1.8560000000000001</v>
      </c>
      <c r="F56" s="15">
        <f>Data!C45</f>
        <v>1.851</v>
      </c>
      <c r="G56" s="15">
        <f>Data!D45</f>
        <v>1.871</v>
      </c>
      <c r="H56" s="15">
        <f>Data!E45</f>
        <v>1.8560000000000001</v>
      </c>
      <c r="I56" s="15">
        <f>Data!F45</f>
        <v>1.851</v>
      </c>
      <c r="J56" s="15">
        <f>Data!G45</f>
        <v>1.871</v>
      </c>
      <c r="K56" s="15"/>
      <c r="L56" s="199"/>
      <c r="M56" s="129" t="s">
        <v>22</v>
      </c>
      <c r="N56" s="15">
        <f t="shared" si="45"/>
        <v>1.6192087454450812</v>
      </c>
      <c r="O56" s="15">
        <f t="shared" si="45"/>
        <v>1.6143284747527333</v>
      </c>
      <c r="P56" s="15">
        <f t="shared" si="45"/>
        <v>1.6338495575221244</v>
      </c>
      <c r="Q56" s="15">
        <f t="shared" si="45"/>
        <v>1.6192087454450812</v>
      </c>
      <c r="R56" s="15">
        <f t="shared" si="45"/>
        <v>1.6143284747527333</v>
      </c>
      <c r="S56" s="15">
        <f t="shared" si="45"/>
        <v>1.6338495575221244</v>
      </c>
      <c r="T56" s="20">
        <f t="shared" si="46"/>
        <v>1.6224622592399796</v>
      </c>
      <c r="U56" s="40">
        <f t="shared" si="47"/>
        <v>9.0865695235352491E-3</v>
      </c>
      <c r="V56" s="109"/>
      <c r="W56" s="82">
        <v>10</v>
      </c>
      <c r="X56" s="20">
        <f>IFERROR(($N$20-N56)/W56,"")</f>
        <v>4.9778761061946893E-3</v>
      </c>
      <c r="Y56" s="15">
        <f>IFERROR(($O$20-O56)/W56,"")</f>
        <v>4.9778761061946893E-3</v>
      </c>
      <c r="Z56" s="15">
        <f>IFERROR(($P$20-P56)/W56,"")</f>
        <v>4.1970327954190308E-3</v>
      </c>
      <c r="AA56" s="15">
        <f>IFERROR(($Q$20-Q56)/W56,"")</f>
        <v>4.9778761061946893E-3</v>
      </c>
      <c r="AB56" s="15">
        <f>IFERROR(($R$20-R56)/W56,"")</f>
        <v>4.9778761061946893E-3</v>
      </c>
      <c r="AC56" s="15">
        <f>IFERROR(($S$20-S56)/W56,"")</f>
        <v>4.1970327954190308E-3</v>
      </c>
      <c r="AD56" s="20">
        <f t="shared" si="66"/>
        <v>4.717595002602804E-3</v>
      </c>
      <c r="AE56" s="40">
        <f t="shared" si="59"/>
        <v>4.0322575181754507E-4</v>
      </c>
      <c r="AG56" s="229"/>
      <c r="AH56" s="77">
        <f>'Sample ID'!$F$12</f>
        <v>0</v>
      </c>
      <c r="AI56" s="77">
        <f>IFERROR((X56*$AH$38),"")</f>
        <v>0</v>
      </c>
      <c r="AJ56" s="77">
        <f t="shared" ref="AJ56" si="82">IFERROR((Y56*$AH$38),"")</f>
        <v>0</v>
      </c>
      <c r="AK56" s="77">
        <f t="shared" ref="AK56" si="83">IFERROR((Z56*$AH$38),"")</f>
        <v>0</v>
      </c>
      <c r="AL56" s="77">
        <f t="shared" ref="AL56" si="84">IFERROR((AA56*$AH$38),"")</f>
        <v>0</v>
      </c>
      <c r="AM56" s="77">
        <f t="shared" ref="AM56" si="85">IFERROR((AB56*$AH$38),"")</f>
        <v>0</v>
      </c>
      <c r="AN56" s="77">
        <f t="shared" ref="AN56" si="86">IFERROR((AC56*$AH$38),"")</f>
        <v>0</v>
      </c>
      <c r="AO56" s="40">
        <f t="shared" si="53"/>
        <v>0</v>
      </c>
      <c r="AP56" s="40">
        <f t="shared" si="65"/>
        <v>0</v>
      </c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</row>
    <row r="57" spans="3:68">
      <c r="C57" s="199"/>
      <c r="D57" s="14" t="s">
        <v>23</v>
      </c>
      <c r="E57" s="15">
        <f>Data!B46</f>
        <v>0</v>
      </c>
      <c r="F57" s="15">
        <f>Data!C46</f>
        <v>0</v>
      </c>
      <c r="G57" s="15">
        <f>Data!D46</f>
        <v>0</v>
      </c>
      <c r="H57" s="15">
        <f>Data!E46</f>
        <v>0</v>
      </c>
      <c r="I57" s="15">
        <f>Data!F46</f>
        <v>0</v>
      </c>
      <c r="J57" s="15">
        <f>Data!G46</f>
        <v>0</v>
      </c>
      <c r="K57" s="15"/>
      <c r="L57" s="199"/>
      <c r="M57" s="129" t="s">
        <v>23</v>
      </c>
      <c r="N57" s="15" t="str">
        <f t="shared" si="45"/>
        <v xml:space="preserve"> </v>
      </c>
      <c r="O57" s="15" t="str">
        <f t="shared" si="45"/>
        <v xml:space="preserve"> </v>
      </c>
      <c r="P57" s="15" t="str">
        <f t="shared" si="45"/>
        <v xml:space="preserve"> </v>
      </c>
      <c r="Q57" s="15" t="str">
        <f t="shared" si="45"/>
        <v xml:space="preserve"> </v>
      </c>
      <c r="R57" s="15" t="str">
        <f t="shared" si="45"/>
        <v xml:space="preserve"> </v>
      </c>
      <c r="S57" s="15" t="str">
        <f t="shared" si="45"/>
        <v xml:space="preserve"> </v>
      </c>
      <c r="T57" s="20" t="str">
        <f t="shared" si="46"/>
        <v/>
      </c>
      <c r="U57" s="40" t="str">
        <f t="shared" si="47"/>
        <v/>
      </c>
      <c r="V57" s="109"/>
      <c r="W57" s="82">
        <v>10</v>
      </c>
      <c r="X57" s="20" t="str">
        <f>IFERROR(($N$21-N57)/W57,"")</f>
        <v/>
      </c>
      <c r="Y57" s="15" t="str">
        <f>IFERROR(($O$21-O57)/W57,"")</f>
        <v/>
      </c>
      <c r="Z57" s="15" t="str">
        <f>IFERROR(($P$21-P57)/W57,"")</f>
        <v/>
      </c>
      <c r="AA57" s="15" t="str">
        <f>IFERROR(($Q$21-Q57)/W57,"")</f>
        <v/>
      </c>
      <c r="AB57" s="15" t="str">
        <f>IFERROR(($R$21-R57)/W57,"")</f>
        <v/>
      </c>
      <c r="AC57" s="15" t="str">
        <f>IFERROR(($S$21-S57)/W57,"")</f>
        <v/>
      </c>
      <c r="AD57" s="20" t="str">
        <f t="shared" si="66"/>
        <v/>
      </c>
      <c r="AE57" s="40" t="str">
        <f t="shared" si="59"/>
        <v/>
      </c>
      <c r="AG57" s="229"/>
      <c r="AH57" s="77">
        <f>'Sample ID'!$F$13</f>
        <v>0</v>
      </c>
      <c r="AI57" s="77" t="str">
        <f>IFERROR((X57*$AH$39),"")</f>
        <v/>
      </c>
      <c r="AJ57" s="77" t="str">
        <f t="shared" ref="AJ57" si="87">IFERROR((Y57*$AH$39),"")</f>
        <v/>
      </c>
      <c r="AK57" s="77" t="str">
        <f t="shared" ref="AK57" si="88">IFERROR((Z57*$AH$39),"")</f>
        <v/>
      </c>
      <c r="AL57" s="77" t="str">
        <f t="shared" ref="AL57" si="89">IFERROR((AA57*$AH$39),"")</f>
        <v/>
      </c>
      <c r="AM57" s="77" t="str">
        <f t="shared" ref="AM57" si="90">IFERROR((AB57*$AH$39),"")</f>
        <v/>
      </c>
      <c r="AN57" s="77" t="str">
        <f t="shared" ref="AN57" si="91">IFERROR((AC57*$AH$39),"")</f>
        <v/>
      </c>
      <c r="AO57" s="40" t="str">
        <f t="shared" si="53"/>
        <v/>
      </c>
      <c r="AP57" s="40" t="str">
        <f t="shared" si="65"/>
        <v/>
      </c>
      <c r="AQ57" s="15"/>
      <c r="AR57" s="15"/>
    </row>
    <row r="58" spans="3:68">
      <c r="C58" s="199"/>
      <c r="D58" s="39"/>
      <c r="E58" s="56">
        <v>7</v>
      </c>
      <c r="F58" s="56">
        <v>8</v>
      </c>
      <c r="G58" s="57">
        <v>9</v>
      </c>
      <c r="H58" s="56">
        <v>10</v>
      </c>
      <c r="I58" s="56">
        <v>11</v>
      </c>
      <c r="J58" s="57">
        <v>12</v>
      </c>
      <c r="K58" s="19"/>
      <c r="L58" s="199"/>
      <c r="M58" s="38"/>
      <c r="N58" s="59">
        <v>7</v>
      </c>
      <c r="O58" s="38">
        <v>8</v>
      </c>
      <c r="P58" s="38">
        <v>9</v>
      </c>
      <c r="Q58" s="38">
        <v>10</v>
      </c>
      <c r="R58" s="38">
        <v>11</v>
      </c>
      <c r="S58" s="50">
        <v>12</v>
      </c>
      <c r="T58" s="38" t="s">
        <v>24</v>
      </c>
      <c r="U58" s="51" t="s">
        <v>3</v>
      </c>
      <c r="V58" s="109"/>
      <c r="W58" s="98"/>
      <c r="X58" s="38">
        <v>7</v>
      </c>
      <c r="Y58" s="38">
        <v>8</v>
      </c>
      <c r="Z58" s="38">
        <v>9</v>
      </c>
      <c r="AA58" s="38">
        <v>10</v>
      </c>
      <c r="AB58" s="38">
        <v>11</v>
      </c>
      <c r="AC58" s="50">
        <v>12</v>
      </c>
      <c r="AD58" s="50" t="s">
        <v>49</v>
      </c>
      <c r="AE58" s="51" t="s">
        <v>3</v>
      </c>
      <c r="AG58" s="229"/>
      <c r="AH58" s="119"/>
      <c r="AI58" s="119"/>
      <c r="AJ58" s="119"/>
      <c r="AK58" s="119"/>
      <c r="AL58" s="119"/>
      <c r="AM58" s="119"/>
      <c r="AN58" s="119"/>
      <c r="AO58" s="100"/>
      <c r="AP58" s="51" t="s">
        <v>3</v>
      </c>
      <c r="AQ58" s="15"/>
      <c r="AR58" s="15"/>
    </row>
    <row r="59" spans="3:68">
      <c r="C59" s="199"/>
      <c r="D59" s="14" t="s">
        <v>16</v>
      </c>
      <c r="E59" s="15">
        <f>Data!H39</f>
        <v>0</v>
      </c>
      <c r="F59" s="15">
        <f>Data!I39</f>
        <v>0</v>
      </c>
      <c r="G59" s="15">
        <f>Data!J39</f>
        <v>0</v>
      </c>
      <c r="H59" s="15">
        <f>Data!K39</f>
        <v>0</v>
      </c>
      <c r="I59" s="15">
        <f>Data!L39</f>
        <v>0</v>
      </c>
      <c r="J59" s="15">
        <f>Data!M39</f>
        <v>0</v>
      </c>
      <c r="K59" s="15"/>
      <c r="L59" s="199"/>
      <c r="M59" s="129" t="s">
        <v>16</v>
      </c>
      <c r="N59" s="15" t="str">
        <f t="shared" ref="N59:S66" si="92">IF(((E59-$P$11)/$P$10)&gt;0,((E59-$P$11)/$P$10)," ")</f>
        <v xml:space="preserve"> </v>
      </c>
      <c r="O59" s="15" t="str">
        <f t="shared" si="92"/>
        <v xml:space="preserve"> </v>
      </c>
      <c r="P59" s="15" t="str">
        <f t="shared" si="92"/>
        <v xml:space="preserve"> </v>
      </c>
      <c r="Q59" s="15" t="str">
        <f t="shared" si="92"/>
        <v xml:space="preserve"> </v>
      </c>
      <c r="R59" s="15" t="str">
        <f t="shared" si="92"/>
        <v xml:space="preserve"> </v>
      </c>
      <c r="S59" s="15" t="str">
        <f t="shared" si="92"/>
        <v xml:space="preserve"> </v>
      </c>
      <c r="T59" s="20" t="str">
        <f t="shared" si="46"/>
        <v/>
      </c>
      <c r="U59" s="40" t="str">
        <f t="shared" si="47"/>
        <v/>
      </c>
      <c r="V59" s="109"/>
      <c r="W59" s="82">
        <v>10</v>
      </c>
      <c r="X59" s="20" t="str">
        <f>IFERROR(($N$23-N59)/W59,"")</f>
        <v/>
      </c>
      <c r="Y59" s="15" t="str">
        <f>IFERROR(($O$23-O59)/W59,"")</f>
        <v/>
      </c>
      <c r="Z59" s="15" t="str">
        <f>IFERROR(($P$23-P59)/W59,"")</f>
        <v/>
      </c>
      <c r="AA59" s="15" t="str">
        <f>IFERROR(($Q$23-Q59)/W59,"")</f>
        <v/>
      </c>
      <c r="AB59" s="15" t="str">
        <f>IFERROR(($R$23-R59)/W59,"")</f>
        <v/>
      </c>
      <c r="AC59" s="15" t="str">
        <f>IFERROR(($S$23-S59)/W59,"")</f>
        <v/>
      </c>
      <c r="AD59" s="20" t="str">
        <f t="shared" ref="AD59:AD60" si="93">IFERROR(AVERAGE(X59:AC59), "")</f>
        <v/>
      </c>
      <c r="AE59" s="40" t="str">
        <f t="shared" ref="AE59:AE60" si="94">IFERROR(STDEV(X59:AC59), "")</f>
        <v/>
      </c>
      <c r="AG59" s="229"/>
      <c r="AH59" s="77">
        <f>'Sample ID'!$F$14</f>
        <v>0</v>
      </c>
      <c r="AI59" s="77" t="str">
        <f>IFERROR((X59*$AH$41),"")</f>
        <v/>
      </c>
      <c r="AJ59" s="77" t="str">
        <f t="shared" ref="AJ59" si="95">IFERROR((Y59*$AH$41),"")</f>
        <v/>
      </c>
      <c r="AK59" s="77" t="str">
        <f t="shared" ref="AK59" si="96">IFERROR((Z59*$AH$41),"")</f>
        <v/>
      </c>
      <c r="AL59" s="77" t="str">
        <f t="shared" ref="AL59" si="97">IFERROR((AA59*$AH$41),"")</f>
        <v/>
      </c>
      <c r="AM59" s="77" t="str">
        <f t="shared" ref="AM59" si="98">IFERROR((AB59*$AH$41),"")</f>
        <v/>
      </c>
      <c r="AN59" s="77" t="str">
        <f t="shared" ref="AN59" si="99">IFERROR((AC59*$AH$41),"")</f>
        <v/>
      </c>
      <c r="AO59" s="40" t="str">
        <f t="shared" ref="AO59:AO66" si="100">IFERROR(AD59*AH59,"")</f>
        <v/>
      </c>
      <c r="AP59" s="40" t="str">
        <f t="shared" ref="AP59:AP60" si="101">IFERROR(STDEV(AI59:AN59), "")</f>
        <v/>
      </c>
      <c r="AQ59" s="15"/>
      <c r="AR59" s="15"/>
    </row>
    <row r="60" spans="3:68">
      <c r="C60" s="199"/>
      <c r="D60" s="14" t="s">
        <v>17</v>
      </c>
      <c r="E60" s="15">
        <f>Data!H40</f>
        <v>0</v>
      </c>
      <c r="F60" s="15">
        <f>Data!I40</f>
        <v>0</v>
      </c>
      <c r="G60" s="15">
        <f>Data!J40</f>
        <v>0</v>
      </c>
      <c r="H60" s="15">
        <f>Data!K40</f>
        <v>0</v>
      </c>
      <c r="I60" s="15">
        <f>Data!L40</f>
        <v>0</v>
      </c>
      <c r="J60" s="15">
        <f>Data!M40</f>
        <v>0</v>
      </c>
      <c r="K60" s="15"/>
      <c r="L60" s="199"/>
      <c r="M60" s="129" t="s">
        <v>17</v>
      </c>
      <c r="N60" s="15" t="str">
        <f t="shared" si="92"/>
        <v xml:space="preserve"> </v>
      </c>
      <c r="O60" s="15" t="str">
        <f t="shared" si="92"/>
        <v xml:space="preserve"> </v>
      </c>
      <c r="P60" s="15" t="str">
        <f t="shared" si="92"/>
        <v xml:space="preserve"> </v>
      </c>
      <c r="Q60" s="15" t="str">
        <f t="shared" si="92"/>
        <v xml:space="preserve"> </v>
      </c>
      <c r="R60" s="15" t="str">
        <f t="shared" si="92"/>
        <v xml:space="preserve"> </v>
      </c>
      <c r="S60" s="15" t="str">
        <f t="shared" si="92"/>
        <v xml:space="preserve"> </v>
      </c>
      <c r="T60" s="20" t="str">
        <f t="shared" si="46"/>
        <v/>
      </c>
      <c r="U60" s="40" t="str">
        <f t="shared" si="47"/>
        <v/>
      </c>
      <c r="V60" s="109"/>
      <c r="W60" s="82">
        <v>10</v>
      </c>
      <c r="X60" s="20" t="str">
        <f>IFERROR(($N$24-N60)/W60,"")</f>
        <v/>
      </c>
      <c r="Y60" s="15" t="str">
        <f>IFERROR(($O$24-O60)/W60,"")</f>
        <v/>
      </c>
      <c r="Z60" s="15" t="str">
        <f>IFERROR(($P$24-P60)/W60,"")</f>
        <v/>
      </c>
      <c r="AA60" s="15" t="str">
        <f>IFERROR(($Q$24-Q60)/W60,"")</f>
        <v/>
      </c>
      <c r="AB60" s="15" t="str">
        <f>IFERROR(($R$24-R60)/W60,"")</f>
        <v/>
      </c>
      <c r="AC60" s="15" t="str">
        <f>IFERROR(($S$24-S60)/W60,"")</f>
        <v/>
      </c>
      <c r="AD60" s="20" t="str">
        <f t="shared" si="93"/>
        <v/>
      </c>
      <c r="AE60" s="40" t="str">
        <f t="shared" si="94"/>
        <v/>
      </c>
      <c r="AG60" s="229"/>
      <c r="AH60" s="77">
        <f>'Sample ID'!$F$15</f>
        <v>0</v>
      </c>
      <c r="AI60" s="77" t="str">
        <f>IFERROR((X60*$AH$42),"")</f>
        <v/>
      </c>
      <c r="AJ60" s="77" t="str">
        <f t="shared" ref="AJ60" si="102">IFERROR((Y60*$AH$42),"")</f>
        <v/>
      </c>
      <c r="AK60" s="77" t="str">
        <f t="shared" ref="AK60" si="103">IFERROR((Z60*$AH$42),"")</f>
        <v/>
      </c>
      <c r="AL60" s="77" t="str">
        <f t="shared" ref="AL60" si="104">IFERROR((AA60*$AH$42),"")</f>
        <v/>
      </c>
      <c r="AM60" s="77" t="str">
        <f t="shared" ref="AM60" si="105">IFERROR((AB60*$AH$42),"")</f>
        <v/>
      </c>
      <c r="AN60" s="77" t="str">
        <f t="shared" ref="AN60" si="106">IFERROR((AC60*$AH$42),"")</f>
        <v/>
      </c>
      <c r="AO60" s="40" t="str">
        <f t="shared" si="100"/>
        <v/>
      </c>
      <c r="AP60" s="40" t="str">
        <f t="shared" si="101"/>
        <v/>
      </c>
      <c r="AQ60" s="15"/>
      <c r="AR60" s="15"/>
    </row>
    <row r="61" spans="3:68">
      <c r="C61" s="199"/>
      <c r="D61" s="14" t="s">
        <v>18</v>
      </c>
      <c r="E61" s="15">
        <f>Data!H41</f>
        <v>0</v>
      </c>
      <c r="F61" s="15">
        <f>Data!I41</f>
        <v>0</v>
      </c>
      <c r="G61" s="15">
        <f>Data!J41</f>
        <v>0</v>
      </c>
      <c r="H61" s="15">
        <f>Data!K41</f>
        <v>0</v>
      </c>
      <c r="I61" s="15">
        <f>Data!L41</f>
        <v>0</v>
      </c>
      <c r="J61" s="15">
        <f>Data!M41</f>
        <v>0</v>
      </c>
      <c r="K61" s="15"/>
      <c r="L61" s="199"/>
      <c r="M61" s="129" t="s">
        <v>18</v>
      </c>
      <c r="N61" s="15" t="str">
        <f t="shared" si="92"/>
        <v xml:space="preserve"> </v>
      </c>
      <c r="O61" s="15" t="str">
        <f t="shared" si="92"/>
        <v xml:space="preserve"> </v>
      </c>
      <c r="P61" s="15" t="str">
        <f t="shared" si="92"/>
        <v xml:space="preserve"> </v>
      </c>
      <c r="Q61" s="15" t="str">
        <f t="shared" si="92"/>
        <v xml:space="preserve"> </v>
      </c>
      <c r="R61" s="15" t="str">
        <f t="shared" si="92"/>
        <v xml:space="preserve"> </v>
      </c>
      <c r="S61" s="15" t="str">
        <f t="shared" si="92"/>
        <v xml:space="preserve"> </v>
      </c>
      <c r="T61" s="20" t="str">
        <f t="shared" si="46"/>
        <v/>
      </c>
      <c r="U61" s="40" t="str">
        <f t="shared" si="47"/>
        <v/>
      </c>
      <c r="V61" s="109"/>
      <c r="W61" s="82">
        <v>10</v>
      </c>
      <c r="X61" s="20" t="str">
        <f>IFERROR(($N$25-N61)/W61,"")</f>
        <v/>
      </c>
      <c r="Y61" s="15" t="str">
        <f>IFERROR(($O$25-O61)/W61,"")</f>
        <v/>
      </c>
      <c r="Z61" s="15" t="str">
        <f>IFERROR(($P$25-P61)/W61,"")</f>
        <v/>
      </c>
      <c r="AA61" s="15" t="str">
        <f>IFERROR(($Q$25-Q61)/W61,"")</f>
        <v/>
      </c>
      <c r="AB61" s="15" t="str">
        <f>IFERROR(($R$25-R61)/W61,"")</f>
        <v/>
      </c>
      <c r="AC61" s="15" t="str">
        <f>IFERROR(($S$25-S61)/W61,"")</f>
        <v/>
      </c>
      <c r="AD61" s="20" t="str">
        <f>IFERROR(AVERAGE(X61:AC61), "")</f>
        <v/>
      </c>
      <c r="AE61" s="40" t="str">
        <f>IFERROR(STDEV(X61:AC61), "")</f>
        <v/>
      </c>
      <c r="AG61" s="229"/>
      <c r="AH61" s="77">
        <f>'Sample ID'!$F$16</f>
        <v>0</v>
      </c>
      <c r="AI61" s="77" t="str">
        <f>IFERROR((X61*$AH$43),"")</f>
        <v/>
      </c>
      <c r="AJ61" s="77" t="str">
        <f t="shared" ref="AJ61" si="107">IFERROR((Y61*$AH$43),"")</f>
        <v/>
      </c>
      <c r="AK61" s="77" t="str">
        <f t="shared" ref="AK61" si="108">IFERROR((Z61*$AH$43),"")</f>
        <v/>
      </c>
      <c r="AL61" s="77" t="str">
        <f t="shared" ref="AL61" si="109">IFERROR((AA61*$AH$43),"")</f>
        <v/>
      </c>
      <c r="AM61" s="77" t="str">
        <f t="shared" ref="AM61" si="110">IFERROR((AB61*$AH$43),"")</f>
        <v/>
      </c>
      <c r="AN61" s="77" t="str">
        <f t="shared" ref="AN61" si="111">IFERROR((AC61*$AH$43),"")</f>
        <v/>
      </c>
      <c r="AO61" s="40" t="str">
        <f t="shared" si="100"/>
        <v/>
      </c>
      <c r="AP61" s="40" t="str">
        <f>IFERROR(STDEV(AI61:AN61), "")</f>
        <v/>
      </c>
      <c r="AQ61" s="15"/>
      <c r="AR61" s="15"/>
    </row>
    <row r="62" spans="3:68">
      <c r="C62" s="199"/>
      <c r="D62" s="14" t="s">
        <v>19</v>
      </c>
      <c r="E62" s="15">
        <f>Data!H42</f>
        <v>0</v>
      </c>
      <c r="F62" s="15">
        <f>Data!I42</f>
        <v>0</v>
      </c>
      <c r="G62" s="15">
        <f>Data!J42</f>
        <v>0</v>
      </c>
      <c r="H62" s="15">
        <f>Data!K42</f>
        <v>0</v>
      </c>
      <c r="I62" s="15">
        <f>Data!L42</f>
        <v>0</v>
      </c>
      <c r="J62" s="15">
        <f>Data!M42</f>
        <v>0</v>
      </c>
      <c r="K62" s="15"/>
      <c r="L62" s="199"/>
      <c r="M62" s="129" t="s">
        <v>19</v>
      </c>
      <c r="N62" s="15" t="str">
        <f t="shared" si="92"/>
        <v xml:space="preserve"> </v>
      </c>
      <c r="O62" s="15" t="str">
        <f t="shared" si="92"/>
        <v xml:space="preserve"> </v>
      </c>
      <c r="P62" s="15" t="str">
        <f t="shared" si="92"/>
        <v xml:space="preserve"> </v>
      </c>
      <c r="Q62" s="15" t="str">
        <f t="shared" si="92"/>
        <v xml:space="preserve"> </v>
      </c>
      <c r="R62" s="15" t="str">
        <f t="shared" si="92"/>
        <v xml:space="preserve"> </v>
      </c>
      <c r="S62" s="15" t="str">
        <f t="shared" si="92"/>
        <v xml:space="preserve"> </v>
      </c>
      <c r="T62" s="20" t="str">
        <f t="shared" si="46"/>
        <v/>
      </c>
      <c r="U62" s="40" t="str">
        <f t="shared" si="47"/>
        <v/>
      </c>
      <c r="V62" s="109"/>
      <c r="W62" s="82">
        <v>10</v>
      </c>
      <c r="X62" s="20" t="str">
        <f>IFERROR(($N$26-N62)/W62,"")</f>
        <v/>
      </c>
      <c r="Y62" s="15" t="str">
        <f>IFERROR(($O$26-O62)/W62,"")</f>
        <v/>
      </c>
      <c r="Z62" s="15" t="str">
        <f>IFERROR(($P$26-P62)/W62,"")</f>
        <v/>
      </c>
      <c r="AA62" s="15" t="str">
        <f>IFERROR(($Q$17-Q62)/W62,"")</f>
        <v/>
      </c>
      <c r="AB62" s="15" t="str">
        <f>IFERROR(($R$26-R62)/W62,"")</f>
        <v/>
      </c>
      <c r="AC62" s="15" t="str">
        <f>IFERROR(($S$26-S62)/W62,"")</f>
        <v/>
      </c>
      <c r="AD62" s="20" t="str">
        <f t="shared" ref="AD62:AD65" si="112">IFERROR(AVERAGE(X62:AC62), "")</f>
        <v/>
      </c>
      <c r="AE62" s="40" t="str">
        <f t="shared" ref="AE62:AE66" si="113">IFERROR(STDEV(X62:AC62), "")</f>
        <v/>
      </c>
      <c r="AG62" s="229"/>
      <c r="AH62" s="77">
        <f>'Sample ID'!$F$17</f>
        <v>0</v>
      </c>
      <c r="AI62" s="77" t="str">
        <f>IFERROR((X62*$AH$44),"")</f>
        <v/>
      </c>
      <c r="AJ62" s="77" t="str">
        <f t="shared" ref="AJ62" si="114">IFERROR((Y62*$AH$44),"")</f>
        <v/>
      </c>
      <c r="AK62" s="77" t="str">
        <f t="shared" ref="AK62" si="115">IFERROR((Z62*$AH$44),"")</f>
        <v/>
      </c>
      <c r="AL62" s="77" t="str">
        <f t="shared" ref="AL62" si="116">IFERROR((AA62*$AH$44),"")</f>
        <v/>
      </c>
      <c r="AM62" s="77" t="str">
        <f t="shared" ref="AM62" si="117">IFERROR((AB62*$AH$44),"")</f>
        <v/>
      </c>
      <c r="AN62" s="77" t="str">
        <f t="shared" ref="AN62" si="118">IFERROR((AC62*$AH$44),"")</f>
        <v/>
      </c>
      <c r="AO62" s="40" t="str">
        <f t="shared" si="100"/>
        <v/>
      </c>
      <c r="AP62" s="40" t="str">
        <f t="shared" ref="AP62:AP66" si="119">IFERROR(STDEV(AI62:AN62), "")</f>
        <v/>
      </c>
      <c r="AQ62" s="15"/>
      <c r="AR62" s="15"/>
    </row>
    <row r="63" spans="3:68">
      <c r="C63" s="199"/>
      <c r="D63" s="14" t="s">
        <v>20</v>
      </c>
      <c r="E63" s="15">
        <f>Data!H43</f>
        <v>0</v>
      </c>
      <c r="F63" s="15">
        <f>Data!I43</f>
        <v>0</v>
      </c>
      <c r="G63" s="15">
        <f>Data!J43</f>
        <v>0</v>
      </c>
      <c r="H63" s="15">
        <f>Data!K43</f>
        <v>0</v>
      </c>
      <c r="I63" s="15">
        <f>Data!L43</f>
        <v>0</v>
      </c>
      <c r="J63" s="15">
        <f>Data!M43</f>
        <v>0</v>
      </c>
      <c r="K63" s="15"/>
      <c r="L63" s="199"/>
      <c r="M63" s="129" t="s">
        <v>20</v>
      </c>
      <c r="N63" s="15" t="str">
        <f t="shared" si="92"/>
        <v xml:space="preserve"> </v>
      </c>
      <c r="O63" s="15" t="str">
        <f t="shared" si="92"/>
        <v xml:space="preserve"> </v>
      </c>
      <c r="P63" s="15" t="str">
        <f t="shared" si="92"/>
        <v xml:space="preserve"> </v>
      </c>
      <c r="Q63" s="15" t="str">
        <f t="shared" si="92"/>
        <v xml:space="preserve"> </v>
      </c>
      <c r="R63" s="15" t="str">
        <f t="shared" si="92"/>
        <v xml:space="preserve"> </v>
      </c>
      <c r="S63" s="15" t="str">
        <f t="shared" si="92"/>
        <v xml:space="preserve"> </v>
      </c>
      <c r="T63" s="20" t="str">
        <f t="shared" si="46"/>
        <v/>
      </c>
      <c r="U63" s="40" t="str">
        <f t="shared" si="47"/>
        <v/>
      </c>
      <c r="V63" s="109"/>
      <c r="W63" s="82">
        <v>10</v>
      </c>
      <c r="X63" s="20" t="str">
        <f>IFERROR(($N$27-N63)/W63,"")</f>
        <v/>
      </c>
      <c r="Y63" s="15" t="str">
        <f>IFERROR(($O$27-O63)/W63,"")</f>
        <v/>
      </c>
      <c r="Z63" s="15" t="str">
        <f>IFERROR(($P$27-P63)/W63,"")</f>
        <v/>
      </c>
      <c r="AA63" s="15" t="str">
        <f>IFERROR(($Q$18-Q63)/W63,"")</f>
        <v/>
      </c>
      <c r="AB63" s="15" t="str">
        <f>IFERROR(($R$27-R63)/W63,"")</f>
        <v/>
      </c>
      <c r="AC63" s="15" t="str">
        <f>IFERROR(($S$27-S63)/W63,"")</f>
        <v/>
      </c>
      <c r="AD63" s="20" t="str">
        <f t="shared" si="112"/>
        <v/>
      </c>
      <c r="AE63" s="40" t="str">
        <f t="shared" si="113"/>
        <v/>
      </c>
      <c r="AG63" s="229"/>
      <c r="AH63" s="77">
        <f>'Sample ID'!$F$18</f>
        <v>0</v>
      </c>
      <c r="AI63" s="77" t="str">
        <f>IFERROR((X63*$AH$45),"")</f>
        <v/>
      </c>
      <c r="AJ63" s="77" t="str">
        <f t="shared" ref="AJ63" si="120">IFERROR((Y63*$AH$45),"")</f>
        <v/>
      </c>
      <c r="AK63" s="77" t="str">
        <f t="shared" ref="AK63" si="121">IFERROR((Z63*$AH$45),"")</f>
        <v/>
      </c>
      <c r="AL63" s="77" t="str">
        <f t="shared" ref="AL63" si="122">IFERROR((AA63*$AH$45),"")</f>
        <v/>
      </c>
      <c r="AM63" s="77" t="str">
        <f t="shared" ref="AM63" si="123">IFERROR((AB63*$AH$45),"")</f>
        <v/>
      </c>
      <c r="AN63" s="77" t="str">
        <f t="shared" ref="AN63" si="124">IFERROR((AC63*$AH$45),"")</f>
        <v/>
      </c>
      <c r="AO63" s="40" t="str">
        <f t="shared" si="100"/>
        <v/>
      </c>
      <c r="AP63" s="40" t="str">
        <f t="shared" si="119"/>
        <v/>
      </c>
      <c r="AQ63" s="15"/>
      <c r="AR63" s="15"/>
    </row>
    <row r="64" spans="3:68">
      <c r="C64" s="199"/>
      <c r="D64" s="14" t="s">
        <v>21</v>
      </c>
      <c r="E64" s="15">
        <f>Data!H44</f>
        <v>0</v>
      </c>
      <c r="F64" s="15">
        <f>Data!I44</f>
        <v>0</v>
      </c>
      <c r="G64" s="15">
        <f>Data!J44</f>
        <v>0</v>
      </c>
      <c r="H64" s="15">
        <f>Data!K44</f>
        <v>0</v>
      </c>
      <c r="I64" s="15">
        <f>Data!L44</f>
        <v>0</v>
      </c>
      <c r="J64" s="15">
        <f>Data!M44</f>
        <v>0</v>
      </c>
      <c r="K64" s="15"/>
      <c r="L64" s="199"/>
      <c r="M64" s="129" t="s">
        <v>21</v>
      </c>
      <c r="N64" s="15" t="str">
        <f t="shared" si="92"/>
        <v xml:space="preserve"> </v>
      </c>
      <c r="O64" s="15" t="str">
        <f t="shared" si="92"/>
        <v xml:space="preserve"> </v>
      </c>
      <c r="P64" s="15" t="str">
        <f t="shared" si="92"/>
        <v xml:space="preserve"> </v>
      </c>
      <c r="Q64" s="15" t="str">
        <f t="shared" si="92"/>
        <v xml:space="preserve"> </v>
      </c>
      <c r="R64" s="15" t="str">
        <f t="shared" si="92"/>
        <v xml:space="preserve"> </v>
      </c>
      <c r="S64" s="15" t="str">
        <f t="shared" si="92"/>
        <v xml:space="preserve"> </v>
      </c>
      <c r="T64" s="20" t="str">
        <f t="shared" si="46"/>
        <v/>
      </c>
      <c r="U64" s="40" t="str">
        <f t="shared" si="47"/>
        <v/>
      </c>
      <c r="V64" s="109"/>
      <c r="W64" s="82">
        <v>10</v>
      </c>
      <c r="X64" s="20" t="str">
        <f>IFERROR(($N$28-N64)/W64,"")</f>
        <v/>
      </c>
      <c r="Y64" s="15" t="str">
        <f>IFERROR(($O$28-O64)/W64,"")</f>
        <v/>
      </c>
      <c r="Z64" s="15" t="str">
        <f>IFERROR(($P$28-P64)/W64,"")</f>
        <v/>
      </c>
      <c r="AA64" s="15" t="str">
        <f>IFERROR(($Q$19-Q64)/W64,"")</f>
        <v/>
      </c>
      <c r="AB64" s="15" t="str">
        <f>IFERROR(($R$28-R64)/W64,"")</f>
        <v/>
      </c>
      <c r="AC64" s="15" t="str">
        <f>IFERROR(($S$28-S64)/W64,"")</f>
        <v/>
      </c>
      <c r="AD64" s="20" t="str">
        <f t="shared" si="112"/>
        <v/>
      </c>
      <c r="AE64" s="40" t="str">
        <f t="shared" si="113"/>
        <v/>
      </c>
      <c r="AG64" s="229"/>
      <c r="AH64" s="77">
        <f>'Sample ID'!$F$19</f>
        <v>0</v>
      </c>
      <c r="AI64" s="77" t="str">
        <f>IFERROR((X64*$AH$46),"")</f>
        <v/>
      </c>
      <c r="AJ64" s="77" t="str">
        <f t="shared" ref="AJ64" si="125">IFERROR((Y64*$AH$46),"")</f>
        <v/>
      </c>
      <c r="AK64" s="77" t="str">
        <f t="shared" ref="AK64" si="126">IFERROR((Z64*$AH$46),"")</f>
        <v/>
      </c>
      <c r="AL64" s="77" t="str">
        <f t="shared" ref="AL64" si="127">IFERROR((AA64*$AH$46),"")</f>
        <v/>
      </c>
      <c r="AM64" s="77" t="str">
        <f t="shared" ref="AM64" si="128">IFERROR((AB64*$AH$46),"")</f>
        <v/>
      </c>
      <c r="AN64" s="77" t="str">
        <f t="shared" ref="AN64" si="129">IFERROR((AC64*$AH$46),"")</f>
        <v/>
      </c>
      <c r="AO64" s="40" t="str">
        <f t="shared" si="100"/>
        <v/>
      </c>
      <c r="AP64" s="40" t="str">
        <f t="shared" si="119"/>
        <v/>
      </c>
      <c r="AQ64" s="15"/>
      <c r="AR64" s="15"/>
    </row>
    <row r="65" spans="3:44">
      <c r="C65" s="199"/>
      <c r="D65" s="14" t="s">
        <v>22</v>
      </c>
      <c r="E65" s="15">
        <f>Data!H45</f>
        <v>0</v>
      </c>
      <c r="F65" s="15">
        <f>Data!I45</f>
        <v>0</v>
      </c>
      <c r="G65" s="15">
        <f>Data!J45</f>
        <v>0</v>
      </c>
      <c r="H65" s="15">
        <f>Data!K45</f>
        <v>0</v>
      </c>
      <c r="I65" s="15">
        <f>Data!L45</f>
        <v>0</v>
      </c>
      <c r="J65" s="15">
        <f>Data!M45</f>
        <v>0</v>
      </c>
      <c r="K65" s="15"/>
      <c r="L65" s="199"/>
      <c r="M65" s="129" t="s">
        <v>22</v>
      </c>
      <c r="N65" s="15" t="str">
        <f t="shared" si="92"/>
        <v xml:space="preserve"> </v>
      </c>
      <c r="O65" s="15" t="str">
        <f t="shared" si="92"/>
        <v xml:space="preserve"> </v>
      </c>
      <c r="P65" s="15" t="str">
        <f t="shared" si="92"/>
        <v xml:space="preserve"> </v>
      </c>
      <c r="Q65" s="15" t="str">
        <f t="shared" si="92"/>
        <v xml:space="preserve"> </v>
      </c>
      <c r="R65" s="15" t="str">
        <f t="shared" si="92"/>
        <v xml:space="preserve"> </v>
      </c>
      <c r="S65" s="15" t="str">
        <f t="shared" si="92"/>
        <v xml:space="preserve"> </v>
      </c>
      <c r="T65" s="20" t="str">
        <f t="shared" si="46"/>
        <v/>
      </c>
      <c r="U65" s="40" t="str">
        <f t="shared" si="47"/>
        <v/>
      </c>
      <c r="V65" s="109"/>
      <c r="W65" s="82">
        <v>10</v>
      </c>
      <c r="X65" s="20" t="str">
        <f>IFERROR(($N$29-N65)/W65,"")</f>
        <v/>
      </c>
      <c r="Y65" s="15" t="str">
        <f>IFERROR(($O$29-O65)/W65,"")</f>
        <v/>
      </c>
      <c r="Z65" s="15" t="str">
        <f>IFERROR(($P$29-P65)/W65,"")</f>
        <v/>
      </c>
      <c r="AA65" s="15" t="str">
        <f>IFERROR(($Q$20-Q65)/W65,"")</f>
        <v/>
      </c>
      <c r="AB65" s="15" t="str">
        <f>IFERROR(($R$29-R65)/W65,"")</f>
        <v/>
      </c>
      <c r="AC65" s="15" t="str">
        <f>IFERROR(($S$29-S65)/W65,"")</f>
        <v/>
      </c>
      <c r="AD65" s="20" t="str">
        <f t="shared" si="112"/>
        <v/>
      </c>
      <c r="AE65" s="40" t="str">
        <f t="shared" si="113"/>
        <v/>
      </c>
      <c r="AG65" s="229"/>
      <c r="AH65" s="77">
        <f>'Sample ID'!$F$20</f>
        <v>0</v>
      </c>
      <c r="AI65" s="77" t="str">
        <f>IFERROR((X65*$AH$47),"")</f>
        <v/>
      </c>
      <c r="AJ65" s="77" t="str">
        <f t="shared" ref="AJ65" si="130">IFERROR((Y65*$AH$47),"")</f>
        <v/>
      </c>
      <c r="AK65" s="77" t="str">
        <f t="shared" ref="AK65" si="131">IFERROR((Z65*$AH$47),"")</f>
        <v/>
      </c>
      <c r="AL65" s="77" t="str">
        <f t="shared" ref="AL65" si="132">IFERROR((AA65*$AH$47),"")</f>
        <v/>
      </c>
      <c r="AM65" s="77" t="str">
        <f t="shared" ref="AM65" si="133">IFERROR((AB65*$AH$47),"")</f>
        <v/>
      </c>
      <c r="AN65" s="77" t="str">
        <f t="shared" ref="AN65" si="134">IFERROR((AC65*$AH$47),"")</f>
        <v/>
      </c>
      <c r="AO65" s="40" t="str">
        <f t="shared" si="100"/>
        <v/>
      </c>
      <c r="AP65" s="40" t="str">
        <f t="shared" si="119"/>
        <v/>
      </c>
      <c r="AQ65" s="15"/>
      <c r="AR65" s="15"/>
    </row>
    <row r="66" spans="3:44">
      <c r="C66" s="199"/>
      <c r="D66" s="14" t="s">
        <v>23</v>
      </c>
      <c r="E66" s="15">
        <f>Data!H46</f>
        <v>0</v>
      </c>
      <c r="F66" s="15">
        <f>Data!I46</f>
        <v>0</v>
      </c>
      <c r="G66" s="15">
        <f>Data!J46</f>
        <v>0</v>
      </c>
      <c r="H66" s="15">
        <f>Data!K46</f>
        <v>0</v>
      </c>
      <c r="I66" s="15">
        <f>Data!L46</f>
        <v>0</v>
      </c>
      <c r="J66" s="15">
        <f>Data!M46</f>
        <v>0</v>
      </c>
      <c r="K66" s="15"/>
      <c r="L66" s="199"/>
      <c r="M66" s="129" t="s">
        <v>23</v>
      </c>
      <c r="N66" s="15" t="str">
        <f t="shared" si="92"/>
        <v xml:space="preserve"> </v>
      </c>
      <c r="O66" s="15" t="str">
        <f t="shared" si="92"/>
        <v xml:space="preserve"> </v>
      </c>
      <c r="P66" s="15" t="str">
        <f t="shared" si="92"/>
        <v xml:space="preserve"> </v>
      </c>
      <c r="Q66" s="15" t="str">
        <f t="shared" si="92"/>
        <v xml:space="preserve"> </v>
      </c>
      <c r="R66" s="15" t="str">
        <f t="shared" si="92"/>
        <v xml:space="preserve"> </v>
      </c>
      <c r="S66" s="15" t="str">
        <f t="shared" si="92"/>
        <v xml:space="preserve"> </v>
      </c>
      <c r="T66" s="20" t="str">
        <f t="shared" si="46"/>
        <v/>
      </c>
      <c r="U66" s="40" t="str">
        <f t="shared" si="47"/>
        <v/>
      </c>
      <c r="V66" s="109"/>
      <c r="W66" s="82">
        <v>10</v>
      </c>
      <c r="X66" s="20" t="str">
        <f>IFERROR(($N$30-N66)/W66,"")</f>
        <v/>
      </c>
      <c r="Y66" s="15" t="str">
        <f>IFERROR(($O$30-O66)/W66,"")</f>
        <v/>
      </c>
      <c r="Z66" s="15" t="str">
        <f>IFERROR(($P$30-P66)/W66,"")</f>
        <v/>
      </c>
      <c r="AA66" s="15" t="str">
        <f>IFERROR(($Q$21-Q66)/W66,"")</f>
        <v/>
      </c>
      <c r="AB66" s="17" t="str">
        <f>IFERROR(($R$30-R66)/W66,"")</f>
        <v/>
      </c>
      <c r="AC66" s="15" t="str">
        <f>IFERROR(($S$30-S66)/W66,"")</f>
        <v/>
      </c>
      <c r="AD66" s="20" t="str">
        <f>IFERROR(AVERAGE(X66:AC66), "")</f>
        <v/>
      </c>
      <c r="AE66" s="40" t="str">
        <f t="shared" si="113"/>
        <v/>
      </c>
      <c r="AG66" s="230"/>
      <c r="AH66" s="77">
        <f>'Sample ID'!$F$21</f>
        <v>0</v>
      </c>
      <c r="AI66" s="77" t="str">
        <f>IFERROR((X66*$AH$48),"")</f>
        <v/>
      </c>
      <c r="AJ66" s="77" t="str">
        <f t="shared" ref="AJ66" si="135">IFERROR((Y66*$AH$48),"")</f>
        <v/>
      </c>
      <c r="AK66" s="77" t="str">
        <f t="shared" ref="AK66" si="136">IFERROR((Z66*$AH$48),"")</f>
        <v/>
      </c>
      <c r="AL66" s="77" t="str">
        <f t="shared" ref="AL66" si="137">IFERROR((AA66*$AH$48),"")</f>
        <v/>
      </c>
      <c r="AM66" s="77" t="str">
        <f t="shared" ref="AM66" si="138">IFERROR((AB66*$AH$48),"")</f>
        <v/>
      </c>
      <c r="AN66" s="77" t="str">
        <f t="shared" ref="AN66" si="139">IFERROR((AC66*$AH$48),"")</f>
        <v/>
      </c>
      <c r="AO66" s="40" t="str">
        <f t="shared" si="100"/>
        <v/>
      </c>
      <c r="AP66" s="40" t="str">
        <f t="shared" si="119"/>
        <v/>
      </c>
      <c r="AQ66" s="15"/>
      <c r="AR66" s="15"/>
    </row>
    <row r="67" spans="3:44">
      <c r="C67" s="199">
        <v>15</v>
      </c>
      <c r="D67" s="50"/>
      <c r="E67" s="58">
        <v>1</v>
      </c>
      <c r="F67" s="58">
        <v>2</v>
      </c>
      <c r="G67" s="59">
        <v>3</v>
      </c>
      <c r="H67" s="56">
        <v>4</v>
      </c>
      <c r="I67" s="56">
        <v>5</v>
      </c>
      <c r="J67" s="57">
        <v>6</v>
      </c>
      <c r="K67" s="19"/>
      <c r="L67" s="199">
        <v>15</v>
      </c>
      <c r="M67" s="38"/>
      <c r="N67" s="59">
        <v>1</v>
      </c>
      <c r="O67" s="38">
        <v>2</v>
      </c>
      <c r="P67" s="38">
        <v>3</v>
      </c>
      <c r="Q67" s="38">
        <v>4</v>
      </c>
      <c r="R67" s="38">
        <v>5</v>
      </c>
      <c r="S67" s="50">
        <v>6</v>
      </c>
      <c r="T67" s="38" t="s">
        <v>24</v>
      </c>
      <c r="U67" s="51" t="s">
        <v>3</v>
      </c>
      <c r="V67" s="109"/>
      <c r="W67" s="38" t="s">
        <v>34</v>
      </c>
      <c r="X67" s="38">
        <v>1</v>
      </c>
      <c r="Y67" s="38">
        <v>2</v>
      </c>
      <c r="Z67" s="38">
        <v>3</v>
      </c>
      <c r="AA67" s="38">
        <v>4</v>
      </c>
      <c r="AB67" s="38">
        <v>5</v>
      </c>
      <c r="AC67" s="50">
        <v>6</v>
      </c>
      <c r="AD67" s="50" t="s">
        <v>49</v>
      </c>
      <c r="AE67" s="51" t="s">
        <v>3</v>
      </c>
      <c r="AF67" s="69"/>
      <c r="AG67" s="231">
        <v>15</v>
      </c>
      <c r="AH67" s="38" t="s">
        <v>35</v>
      </c>
      <c r="AI67" s="38"/>
      <c r="AJ67" s="38"/>
      <c r="AK67" s="38"/>
      <c r="AL67" s="38"/>
      <c r="AM67" s="38"/>
      <c r="AN67" s="38"/>
      <c r="AO67" s="52" t="s">
        <v>36</v>
      </c>
      <c r="AP67" s="51" t="s">
        <v>3</v>
      </c>
      <c r="AQ67" s="15"/>
      <c r="AR67" s="15"/>
    </row>
    <row r="68" spans="3:44">
      <c r="C68" s="199"/>
      <c r="D68" s="14" t="s">
        <v>16</v>
      </c>
      <c r="E68" s="15">
        <f>Data!B51</f>
        <v>1.966</v>
      </c>
      <c r="F68" s="15">
        <f>Data!C51</f>
        <v>1.958</v>
      </c>
      <c r="G68" s="15">
        <f>Data!D51</f>
        <v>1.9670000000000001</v>
      </c>
      <c r="H68" s="15">
        <f>Data!E51</f>
        <v>1.966</v>
      </c>
      <c r="I68" s="15">
        <f>Data!F51</f>
        <v>1.958</v>
      </c>
      <c r="J68" s="15">
        <f>Data!G51</f>
        <v>1.9670000000000001</v>
      </c>
      <c r="K68" s="15"/>
      <c r="L68" s="199"/>
      <c r="M68" s="129" t="s">
        <v>16</v>
      </c>
      <c r="N68" s="15">
        <f t="shared" ref="N68:S75" si="140">IF(((E68-$P$11)/$P$10)&gt;0,((E68-$P$11)/$P$10)," ")</f>
        <v>1.7265747006767311</v>
      </c>
      <c r="O68" s="15">
        <f t="shared" si="140"/>
        <v>1.7187662675689748</v>
      </c>
      <c r="P68" s="15">
        <f t="shared" si="140"/>
        <v>1.7275507548152009</v>
      </c>
      <c r="Q68" s="15">
        <f t="shared" si="140"/>
        <v>1.7265747006767311</v>
      </c>
      <c r="R68" s="15">
        <f t="shared" si="140"/>
        <v>1.7187662675689748</v>
      </c>
      <c r="S68" s="15">
        <f t="shared" si="140"/>
        <v>1.7275507548152009</v>
      </c>
      <c r="T68" s="20">
        <f t="shared" si="46"/>
        <v>1.7242972410203024</v>
      </c>
      <c r="U68" s="40">
        <f t="shared" si="47"/>
        <v>4.3064529171719301E-3</v>
      </c>
      <c r="V68" s="109"/>
      <c r="W68" s="82">
        <v>15</v>
      </c>
      <c r="X68" s="20">
        <f>IFERROR(($N$14-N68)/W68,"")</f>
        <v>3.2535137948985771E-4</v>
      </c>
      <c r="Y68" s="15">
        <f>IFERROR(($O$14-O68)/W68,"")</f>
        <v>7.8084331077564364E-4</v>
      </c>
      <c r="Z68" s="15">
        <f>IFERROR(($P$14-P68)/W68,"")</f>
        <v>2.0822488287350299E-3</v>
      </c>
      <c r="AA68" s="15">
        <f>IFERROR(($Q$14-Q68)/W68,"")</f>
        <v>3.2535137948985771E-4</v>
      </c>
      <c r="AB68" s="15">
        <f>IFERROR(($R$14-R68)/W68,"")</f>
        <v>7.8084331077564364E-4</v>
      </c>
      <c r="AC68" s="15">
        <f>IFERROR(($S$14-S68)/W68,"")</f>
        <v>2.0822488287350299E-3</v>
      </c>
      <c r="AD68" s="20">
        <f>IFERROR(AVERAGE(X68:AC68), "")</f>
        <v>1.0628145063335103E-3</v>
      </c>
      <c r="AE68" s="40">
        <f>IFERROR(STDEV(X68:AC68), "")</f>
        <v>8.1550130748358595E-4</v>
      </c>
      <c r="AG68" s="229"/>
      <c r="AH68" s="76">
        <f>'Sample ID'!$F$6</f>
        <v>1</v>
      </c>
      <c r="AI68" s="77">
        <f>IFERROR((X68*$AH$32),"")</f>
        <v>3.2535137948985771E-4</v>
      </c>
      <c r="AJ68" s="77">
        <f t="shared" ref="AJ68" si="141">IFERROR((Y68*$AH$32),"")</f>
        <v>7.8084331077564364E-4</v>
      </c>
      <c r="AK68" s="77">
        <f t="shared" ref="AK68" si="142">IFERROR((Z68*$AH$32),"")</f>
        <v>2.0822488287350299E-3</v>
      </c>
      <c r="AL68" s="77">
        <f t="shared" ref="AL68" si="143">IFERROR((AA68*$AH$32),"")</f>
        <v>3.2535137948985771E-4</v>
      </c>
      <c r="AM68" s="77">
        <f t="shared" ref="AM68" si="144">IFERROR((AB68*$AH$32),"")</f>
        <v>7.8084331077564364E-4</v>
      </c>
      <c r="AN68" s="77">
        <f t="shared" ref="AN68" si="145">IFERROR((AC68*$AH$32),"")</f>
        <v>2.0822488287350299E-3</v>
      </c>
      <c r="AO68" s="40">
        <f t="shared" ref="AO68:AO75" si="146">IFERROR(AD68*AH68,"")</f>
        <v>1.0628145063335103E-3</v>
      </c>
      <c r="AP68" s="40">
        <f>IFERROR(STDEV(AI68:AN68), "")</f>
        <v>8.1550130748358595E-4</v>
      </c>
      <c r="AQ68" s="15"/>
      <c r="AR68" s="15"/>
    </row>
    <row r="69" spans="3:44">
      <c r="C69" s="199"/>
      <c r="D69" s="14" t="s">
        <v>17</v>
      </c>
      <c r="E69" s="15">
        <f>Data!B52</f>
        <v>1.9930000000000001</v>
      </c>
      <c r="F69" s="15">
        <f>Data!C52</f>
        <v>2.0009999999999999</v>
      </c>
      <c r="G69" s="15">
        <f>Data!D52</f>
        <v>2.0030000000000001</v>
      </c>
      <c r="H69" s="15">
        <f>Data!E52</f>
        <v>1.9930000000000001</v>
      </c>
      <c r="I69" s="15">
        <f>Data!F52</f>
        <v>2.0009999999999999</v>
      </c>
      <c r="J69" s="15">
        <f>Data!G52</f>
        <v>2.0030000000000001</v>
      </c>
      <c r="K69" s="15"/>
      <c r="L69" s="199"/>
      <c r="M69" s="129" t="s">
        <v>17</v>
      </c>
      <c r="N69" s="15">
        <f t="shared" si="140"/>
        <v>1.7529281624154092</v>
      </c>
      <c r="O69" s="15">
        <f t="shared" si="140"/>
        <v>1.7607365955231653</v>
      </c>
      <c r="P69" s="15">
        <f t="shared" si="140"/>
        <v>1.7626887038001047</v>
      </c>
      <c r="Q69" s="15">
        <f t="shared" si="140"/>
        <v>1.7529281624154092</v>
      </c>
      <c r="R69" s="15">
        <f t="shared" si="140"/>
        <v>1.7607365955231653</v>
      </c>
      <c r="S69" s="15">
        <f t="shared" si="140"/>
        <v>1.7626887038001047</v>
      </c>
      <c r="T69" s="20">
        <f t="shared" si="46"/>
        <v>1.7587844872462266</v>
      </c>
      <c r="U69" s="40">
        <f t="shared" si="47"/>
        <v>4.619531324648294E-3</v>
      </c>
      <c r="V69" s="109"/>
      <c r="W69" s="82">
        <v>15</v>
      </c>
      <c r="X69" s="20">
        <f>IFERROR(($N$15-N69)/W69,"")</f>
        <v>-1.9521082769391018E-3</v>
      </c>
      <c r="Y69" s="15">
        <f>IFERROR(($O$15-O69)/W69,"")</f>
        <v>-2.667881311816759E-3</v>
      </c>
      <c r="Z69" s="15">
        <f>IFERROR(($P$15-P69)/W69,"")</f>
        <v>-2.0171785528370735E-3</v>
      </c>
      <c r="AA69" s="15">
        <f>IFERROR(($Q$15-Q69)/W69,"")</f>
        <v>-1.9521082769391018E-3</v>
      </c>
      <c r="AB69" s="15">
        <f>IFERROR(($R$15-R69)/W69,"")</f>
        <v>-2.667881311816759E-3</v>
      </c>
      <c r="AC69" s="15">
        <f>IFERROR(($S$15-S69)/W69,"")</f>
        <v>-2.0171785528370735E-3</v>
      </c>
      <c r="AD69" s="20">
        <f>IFERROR(AVERAGE(X69:AC69), "")</f>
        <v>-2.2123893805309782E-3</v>
      </c>
      <c r="AE69" s="40">
        <f>IFERROR(STDEV(X69:AC69), "")</f>
        <v>3.540205754486001E-4</v>
      </c>
      <c r="AG69" s="229"/>
      <c r="AH69" s="77">
        <f>'Sample ID'!$F$7</f>
        <v>1</v>
      </c>
      <c r="AI69" s="77">
        <f>IFERROR((X69*$AH$33),"")</f>
        <v>-1.9521082769391018E-3</v>
      </c>
      <c r="AJ69" s="77">
        <f t="shared" ref="AJ69" si="147">IFERROR((Y69*$AH$33),"")</f>
        <v>-2.667881311816759E-3</v>
      </c>
      <c r="AK69" s="77">
        <f t="shared" ref="AK69" si="148">IFERROR((Z69*$AH$33),"")</f>
        <v>-2.0171785528370735E-3</v>
      </c>
      <c r="AL69" s="77">
        <f t="shared" ref="AL69" si="149">IFERROR((AA69*$AH$33),"")</f>
        <v>-1.9521082769391018E-3</v>
      </c>
      <c r="AM69" s="77">
        <f t="shared" ref="AM69" si="150">IFERROR((AB69*$AH$33),"")</f>
        <v>-2.667881311816759E-3</v>
      </c>
      <c r="AN69" s="77">
        <f t="shared" ref="AN69" si="151">IFERROR((AC69*$AH$33),"")</f>
        <v>-2.0171785528370735E-3</v>
      </c>
      <c r="AO69" s="40">
        <f t="shared" si="146"/>
        <v>-2.2123893805309782E-3</v>
      </c>
      <c r="AP69" s="40">
        <f>IFERROR(STDEV(AI69:AN69), "")</f>
        <v>3.540205754486001E-4</v>
      </c>
      <c r="AQ69" s="15"/>
      <c r="AR69" s="15"/>
    </row>
    <row r="70" spans="3:44">
      <c r="C70" s="199"/>
      <c r="D70" s="14" t="s">
        <v>18</v>
      </c>
      <c r="E70" s="15">
        <f>Data!B53</f>
        <v>2.0019999999999998</v>
      </c>
      <c r="F70" s="15">
        <f>Data!C53</f>
        <v>2.0169999999999999</v>
      </c>
      <c r="G70" s="15">
        <f>Data!D53</f>
        <v>2.0369999999999999</v>
      </c>
      <c r="H70" s="15">
        <f>Data!E53</f>
        <v>2.0019999999999998</v>
      </c>
      <c r="I70" s="15">
        <f>Data!F53</f>
        <v>2.0169999999999999</v>
      </c>
      <c r="J70" s="15">
        <f>Data!G53</f>
        <v>2.0369999999999999</v>
      </c>
      <c r="K70" s="15"/>
      <c r="L70" s="199"/>
      <c r="M70" s="129" t="s">
        <v>18</v>
      </c>
      <c r="N70" s="15">
        <f t="shared" si="140"/>
        <v>1.7617126496616347</v>
      </c>
      <c r="O70" s="15">
        <f t="shared" si="140"/>
        <v>1.776353461738678</v>
      </c>
      <c r="P70" s="15">
        <f t="shared" si="140"/>
        <v>1.795874544508069</v>
      </c>
      <c r="Q70" s="15">
        <f t="shared" si="140"/>
        <v>1.7617126496616347</v>
      </c>
      <c r="R70" s="15">
        <f t="shared" si="140"/>
        <v>1.776353461738678</v>
      </c>
      <c r="S70" s="15">
        <f t="shared" si="140"/>
        <v>1.795874544508069</v>
      </c>
      <c r="T70" s="20">
        <f t="shared" si="46"/>
        <v>1.7779802186361273</v>
      </c>
      <c r="U70" s="40">
        <f t="shared" si="47"/>
        <v>1.5329540590044025E-2</v>
      </c>
      <c r="V70" s="109"/>
      <c r="W70" s="82">
        <v>15</v>
      </c>
      <c r="X70" s="20">
        <f>IFERROR(($N$16-N70)/W70,"")</f>
        <v>-1.4966163456532863E-3</v>
      </c>
      <c r="Y70" s="15">
        <f>IFERROR(($O$16-O70)/W70,"")</f>
        <v>-1.1061946902654717E-3</v>
      </c>
      <c r="Z70" s="15">
        <f>IFERROR(($P$16-P70)/W70,"")</f>
        <v>-6.5070275897968581E-4</v>
      </c>
      <c r="AA70" s="15">
        <f>IFERROR(($Q$16-Q70)/W70,"")</f>
        <v>-1.4966163456532863E-3</v>
      </c>
      <c r="AB70" s="15">
        <f>IFERROR(($R$16-R70)/W70,"")</f>
        <v>-1.1061946902654717E-3</v>
      </c>
      <c r="AC70" s="15">
        <f>IFERROR(($S$16-S70)/W70,"")</f>
        <v>-6.5070275897968581E-4</v>
      </c>
      <c r="AD70" s="20">
        <f>IFERROR(AVERAGE(X70:AC70), "")</f>
        <v>-1.0845045982994814E-3</v>
      </c>
      <c r="AE70" s="40">
        <f t="shared" ref="AE70:AE75" si="152">IFERROR(STDEV(X70:AC70), "")</f>
        <v>3.7867695371846286E-4</v>
      </c>
      <c r="AG70" s="229"/>
      <c r="AH70" s="77">
        <f>'Sample ID'!$F$8</f>
        <v>1</v>
      </c>
      <c r="AI70" s="77">
        <f>IFERROR((X70*$AH$34),"")</f>
        <v>-1.4966163456532863E-3</v>
      </c>
      <c r="AJ70" s="77">
        <f t="shared" ref="AJ70" si="153">IFERROR((Y70*$AH$34),"")</f>
        <v>-1.1061946902654717E-3</v>
      </c>
      <c r="AK70" s="77">
        <f t="shared" ref="AK70" si="154">IFERROR((Z70*$AH$34),"")</f>
        <v>-6.5070275897968581E-4</v>
      </c>
      <c r="AL70" s="77">
        <f t="shared" ref="AL70" si="155">IFERROR((AA70*$AH$34),"")</f>
        <v>-1.4966163456532863E-3</v>
      </c>
      <c r="AM70" s="77">
        <f t="shared" ref="AM70" si="156">IFERROR((AB70*$AH$34),"")</f>
        <v>-1.1061946902654717E-3</v>
      </c>
      <c r="AN70" s="77">
        <f t="shared" ref="AN70" si="157">IFERROR((AC70*$AH$34),"")</f>
        <v>-6.5070275897968581E-4</v>
      </c>
      <c r="AO70" s="40">
        <f t="shared" si="146"/>
        <v>-1.0845045982994814E-3</v>
      </c>
      <c r="AP70" s="40">
        <f t="shared" ref="AP70:AP75" si="158">IFERROR(STDEV(AI70:AN70), "")</f>
        <v>3.7867695371846286E-4</v>
      </c>
      <c r="AQ70" s="15"/>
      <c r="AR70" s="15"/>
    </row>
    <row r="71" spans="3:44">
      <c r="C71" s="199"/>
      <c r="D71" s="14" t="s">
        <v>19</v>
      </c>
      <c r="E71" s="15">
        <f>Data!B54</f>
        <v>2.2480000000000002</v>
      </c>
      <c r="F71" s="15">
        <f>Data!C54</f>
        <v>2.2370000000000001</v>
      </c>
      <c r="G71" s="15">
        <f>Data!D54</f>
        <v>2.2360000000000002</v>
      </c>
      <c r="H71" s="15">
        <f>Data!E54</f>
        <v>2.2480000000000002</v>
      </c>
      <c r="I71" s="15">
        <f>Data!F54</f>
        <v>2.2370000000000001</v>
      </c>
      <c r="J71" s="15">
        <f>Data!G54</f>
        <v>2.2360000000000002</v>
      </c>
      <c r="K71" s="15"/>
      <c r="L71" s="199"/>
      <c r="M71" s="129" t="s">
        <v>19</v>
      </c>
      <c r="N71" s="15">
        <f t="shared" si="140"/>
        <v>2.0018219677251436</v>
      </c>
      <c r="O71" s="15">
        <f t="shared" si="140"/>
        <v>1.9910853722019788</v>
      </c>
      <c r="P71" s="15">
        <f t="shared" si="140"/>
        <v>1.9901093180635092</v>
      </c>
      <c r="Q71" s="15">
        <f t="shared" si="140"/>
        <v>2.0018219677251436</v>
      </c>
      <c r="R71" s="15">
        <f t="shared" si="140"/>
        <v>1.9910853722019788</v>
      </c>
      <c r="S71" s="15">
        <f t="shared" si="140"/>
        <v>1.9901093180635092</v>
      </c>
      <c r="T71" s="20">
        <f t="shared" si="46"/>
        <v>1.9943388859968774</v>
      </c>
      <c r="U71" s="40">
        <f t="shared" si="47"/>
        <v>5.8127827782735583E-3</v>
      </c>
      <c r="V71" s="109"/>
      <c r="W71" s="82">
        <v>15</v>
      </c>
      <c r="X71" s="20">
        <f>IFERROR(($N$17-N71)/W71,"")</f>
        <v>-1.2883914627798039E-2</v>
      </c>
      <c r="Y71" s="15">
        <f>IFERROR(($O$17-O71)/W71,"")</f>
        <v>-1.2363352420614267E-2</v>
      </c>
      <c r="Z71" s="15">
        <f>IFERROR(($P$17-P71)/W71,"")</f>
        <v>-1.1777719937532538E-2</v>
      </c>
      <c r="AA71" s="15">
        <f>IFERROR(($Q$17-Q71)/W71,"")</f>
        <v>-1.2883914627798039E-2</v>
      </c>
      <c r="AB71" s="15">
        <f>IFERROR(($R$17-R71)/W71,"")</f>
        <v>-1.2363352420614267E-2</v>
      </c>
      <c r="AC71" s="15">
        <f>IFERROR(($S$17-S71)/W71,"")</f>
        <v>-1.1777719937532538E-2</v>
      </c>
      <c r="AD71" s="20">
        <f t="shared" ref="AD71:AD75" si="159">IFERROR(AVERAGE(X71:AC71), "")</f>
        <v>-1.234166232864828E-2</v>
      </c>
      <c r="AE71" s="40">
        <f t="shared" si="152"/>
        <v>4.9499051971529017E-4</v>
      </c>
      <c r="AG71" s="229"/>
      <c r="AH71" s="77">
        <f>'Sample ID'!$F$9</f>
        <v>1</v>
      </c>
      <c r="AI71" s="77">
        <f>IFERROR((X71*$AH$35),"")</f>
        <v>-1.2883914627798039E-2</v>
      </c>
      <c r="AJ71" s="77">
        <f t="shared" ref="AJ71" si="160">IFERROR((Y71*$AH$35),"")</f>
        <v>-1.2363352420614267E-2</v>
      </c>
      <c r="AK71" s="77">
        <f t="shared" ref="AK71" si="161">IFERROR((Z71*$AH$35),"")</f>
        <v>-1.1777719937532538E-2</v>
      </c>
      <c r="AL71" s="77">
        <f t="shared" ref="AL71" si="162">IFERROR((AA71*$AH$35),"")</f>
        <v>-1.2883914627798039E-2</v>
      </c>
      <c r="AM71" s="77">
        <f t="shared" ref="AM71" si="163">IFERROR((AB71*$AH$35),"")</f>
        <v>-1.2363352420614267E-2</v>
      </c>
      <c r="AN71" s="77">
        <f t="shared" ref="AN71" si="164">IFERROR((AC71*$AH$35),"")</f>
        <v>-1.1777719937532538E-2</v>
      </c>
      <c r="AO71" s="40">
        <f t="shared" si="146"/>
        <v>-1.234166232864828E-2</v>
      </c>
      <c r="AP71" s="40">
        <f t="shared" si="158"/>
        <v>4.9499051971529017E-4</v>
      </c>
      <c r="AQ71" s="15"/>
      <c r="AR71" s="15"/>
    </row>
    <row r="72" spans="3:44">
      <c r="C72" s="199"/>
      <c r="D72" s="14" t="s">
        <v>20</v>
      </c>
      <c r="E72" s="15">
        <f>Data!B55</f>
        <v>2.1850000000000001</v>
      </c>
      <c r="F72" s="15">
        <f>Data!C55</f>
        <v>2.1840000000000002</v>
      </c>
      <c r="G72" s="15">
        <f>Data!D55</f>
        <v>2.1840000000000002</v>
      </c>
      <c r="H72" s="15">
        <f>Data!E55</f>
        <v>2.1850000000000001</v>
      </c>
      <c r="I72" s="15">
        <f>Data!F55</f>
        <v>2.1840000000000002</v>
      </c>
      <c r="J72" s="15">
        <f>Data!G55</f>
        <v>2.1840000000000002</v>
      </c>
      <c r="K72" s="15"/>
      <c r="L72" s="199"/>
      <c r="M72" s="129" t="s">
        <v>20</v>
      </c>
      <c r="N72" s="15">
        <f t="shared" si="140"/>
        <v>1.9403305570015621</v>
      </c>
      <c r="O72" s="15">
        <f t="shared" si="140"/>
        <v>1.9393545028630927</v>
      </c>
      <c r="P72" s="15">
        <f t="shared" si="140"/>
        <v>1.9393545028630927</v>
      </c>
      <c r="Q72" s="15">
        <f t="shared" si="140"/>
        <v>1.9403305570015621</v>
      </c>
      <c r="R72" s="15">
        <f t="shared" si="140"/>
        <v>1.9393545028630927</v>
      </c>
      <c r="S72" s="15">
        <f t="shared" si="140"/>
        <v>1.9393545028630927</v>
      </c>
      <c r="T72" s="20">
        <f t="shared" si="46"/>
        <v>1.9396798542425826</v>
      </c>
      <c r="U72" s="40">
        <f t="shared" si="47"/>
        <v>5.040321897718166E-4</v>
      </c>
      <c r="V72" s="109"/>
      <c r="W72" s="82">
        <v>15</v>
      </c>
      <c r="X72" s="20">
        <f>IFERROR(($N$18-N72)/W72,"")</f>
        <v>-6.1166059344091471E-3</v>
      </c>
      <c r="Y72" s="15">
        <f>IFERROR(($O$18-O72)/W72,"")</f>
        <v>-7.613222280062463E-3</v>
      </c>
      <c r="Z72" s="15">
        <f>IFERROR(($P$18-P72)/W72,"")</f>
        <v>-6.1816762103071481E-3</v>
      </c>
      <c r="AA72" s="15">
        <f>IFERROR(($Q$18-Q72)/W72,"")</f>
        <v>-6.1166059344091471E-3</v>
      </c>
      <c r="AB72" s="15">
        <f>IFERROR(($R$18-R72)/W72,"")</f>
        <v>-7.613222280062463E-3</v>
      </c>
      <c r="AC72" s="15">
        <f>IFERROR(($S$18-S72)/W72,"")</f>
        <v>-6.1816762103071481E-3</v>
      </c>
      <c r="AD72" s="20">
        <f t="shared" si="159"/>
        <v>-6.6371681415929203E-3</v>
      </c>
      <c r="AE72" s="40">
        <f t="shared" si="152"/>
        <v>7.5660811315713642E-4</v>
      </c>
      <c r="AG72" s="229"/>
      <c r="AH72" s="77">
        <f>'Sample ID'!$F$10</f>
        <v>1</v>
      </c>
      <c r="AI72" s="77">
        <f>IFERROR((X72*$AH$36),"")</f>
        <v>-6.1166059344091471E-3</v>
      </c>
      <c r="AJ72" s="77">
        <f t="shared" ref="AJ72" si="165">IFERROR((Y72*$AH$36),"")</f>
        <v>-7.613222280062463E-3</v>
      </c>
      <c r="AK72" s="77">
        <f t="shared" ref="AK72" si="166">IFERROR((Z72*$AH$36),"")</f>
        <v>-6.1816762103071481E-3</v>
      </c>
      <c r="AL72" s="77">
        <f t="shared" ref="AL72" si="167">IFERROR((AA72*$AH$36),"")</f>
        <v>-6.1166059344091471E-3</v>
      </c>
      <c r="AM72" s="77">
        <f t="shared" ref="AM72" si="168">IFERROR((AB72*$AH$36),"")</f>
        <v>-7.613222280062463E-3</v>
      </c>
      <c r="AN72" s="77">
        <f t="shared" ref="AN72" si="169">IFERROR((AC72*$AH$36),"")</f>
        <v>-6.1816762103071481E-3</v>
      </c>
      <c r="AO72" s="40">
        <f t="shared" si="146"/>
        <v>-6.6371681415929203E-3</v>
      </c>
      <c r="AP72" s="40">
        <f t="shared" si="158"/>
        <v>7.5660811315713642E-4</v>
      </c>
      <c r="AQ72" s="15"/>
      <c r="AR72" s="15"/>
    </row>
    <row r="73" spans="3:44">
      <c r="C73" s="199"/>
      <c r="D73" s="14" t="s">
        <v>21</v>
      </c>
      <c r="E73" s="15">
        <f>Data!B56</f>
        <v>1.718</v>
      </c>
      <c r="F73" s="15">
        <f>Data!C56</f>
        <v>1.76</v>
      </c>
      <c r="G73" s="15">
        <f>Data!D56</f>
        <v>1.7030000000000001</v>
      </c>
      <c r="H73" s="15">
        <f>Data!E56</f>
        <v>1.718</v>
      </c>
      <c r="I73" s="15">
        <f>Data!F56</f>
        <v>1.76</v>
      </c>
      <c r="J73" s="15">
        <f>Data!G56</f>
        <v>1.7030000000000001</v>
      </c>
      <c r="K73" s="15"/>
      <c r="L73" s="199"/>
      <c r="M73" s="129" t="s">
        <v>21</v>
      </c>
      <c r="N73" s="15">
        <f t="shared" si="140"/>
        <v>1.4845132743362834</v>
      </c>
      <c r="O73" s="15">
        <f t="shared" si="140"/>
        <v>1.5255075481520044</v>
      </c>
      <c r="P73" s="15">
        <f t="shared" si="140"/>
        <v>1.4698724622592403</v>
      </c>
      <c r="Q73" s="15">
        <f t="shared" si="140"/>
        <v>1.4845132743362834</v>
      </c>
      <c r="R73" s="15">
        <f t="shared" si="140"/>
        <v>1.5255075481520044</v>
      </c>
      <c r="S73" s="15">
        <f t="shared" si="140"/>
        <v>1.4698724622592403</v>
      </c>
      <c r="T73" s="20">
        <f t="shared" si="46"/>
        <v>1.4932977615825092</v>
      </c>
      <c r="U73" s="40">
        <f t="shared" si="47"/>
        <v>2.5794435178280443E-2</v>
      </c>
      <c r="V73" s="109"/>
      <c r="W73" s="82">
        <v>15</v>
      </c>
      <c r="X73" s="20">
        <f>IFERROR(($N$19-N73)/W73,"")</f>
        <v>1.1647579385736609E-2</v>
      </c>
      <c r="Y73" s="15">
        <f>IFERROR(($O$19-O73)/W73,"")</f>
        <v>1.1322228006246752E-2</v>
      </c>
      <c r="Z73" s="15">
        <f>IFERROR(($P$19-P73)/W73,"")</f>
        <v>1.249349297241021E-2</v>
      </c>
      <c r="AA73" s="15">
        <f>IFERROR(($Q$19-Q73)/W73,"")</f>
        <v>1.1647579385736609E-2</v>
      </c>
      <c r="AB73" s="15">
        <f>IFERROR(($R$19-R73)/W73,"")</f>
        <v>1.1322228006246752E-2</v>
      </c>
      <c r="AC73" s="15">
        <f>IFERROR(($S$19-S73)/W73,"")</f>
        <v>1.249349297241021E-2</v>
      </c>
      <c r="AD73" s="20">
        <f t="shared" si="159"/>
        <v>1.1821100121464525E-2</v>
      </c>
      <c r="AE73" s="40">
        <f t="shared" si="152"/>
        <v>5.4077536152168711E-4</v>
      </c>
      <c r="AG73" s="229"/>
      <c r="AH73" s="77">
        <f>'Sample ID'!$F$11</f>
        <v>0</v>
      </c>
      <c r="AI73" s="77">
        <f>IFERROR((X73*$AH$37),"")</f>
        <v>0</v>
      </c>
      <c r="AJ73" s="77">
        <f t="shared" ref="AJ73" si="170">IFERROR((Y73*$AH$37),"")</f>
        <v>0</v>
      </c>
      <c r="AK73" s="77">
        <f t="shared" ref="AK73" si="171">IFERROR((Z73*$AH$37),"")</f>
        <v>0</v>
      </c>
      <c r="AL73" s="77">
        <f t="shared" ref="AL73" si="172">IFERROR((AA73*$AH$37),"")</f>
        <v>0</v>
      </c>
      <c r="AM73" s="77">
        <f t="shared" ref="AM73" si="173">IFERROR((AB73*$AH$37),"")</f>
        <v>0</v>
      </c>
      <c r="AN73" s="77">
        <f t="shared" ref="AN73" si="174">IFERROR((AC73*$AH$37),"")</f>
        <v>0</v>
      </c>
      <c r="AO73" s="40">
        <f t="shared" si="146"/>
        <v>0</v>
      </c>
      <c r="AP73" s="40">
        <f t="shared" si="158"/>
        <v>0</v>
      </c>
      <c r="AQ73" s="15"/>
      <c r="AR73" s="15"/>
    </row>
    <row r="74" spans="3:44">
      <c r="C74" s="199"/>
      <c r="D74" s="14" t="s">
        <v>22</v>
      </c>
      <c r="E74" s="15">
        <f>Data!B57</f>
        <v>1.82</v>
      </c>
      <c r="F74" s="15">
        <f>Data!C57</f>
        <v>1.8220000000000001</v>
      </c>
      <c r="G74" s="15">
        <f>Data!D57</f>
        <v>1.8360000000000001</v>
      </c>
      <c r="H74" s="15">
        <f>Data!E57</f>
        <v>1.82</v>
      </c>
      <c r="I74" s="15">
        <f>Data!F57</f>
        <v>1.8220000000000001</v>
      </c>
      <c r="J74" s="15">
        <f>Data!G57</f>
        <v>1.8360000000000001</v>
      </c>
      <c r="K74" s="15"/>
      <c r="L74" s="199"/>
      <c r="M74" s="129" t="s">
        <v>22</v>
      </c>
      <c r="N74" s="15">
        <f t="shared" si="140"/>
        <v>1.5840707964601775</v>
      </c>
      <c r="O74" s="15">
        <f t="shared" si="140"/>
        <v>1.5860229047371166</v>
      </c>
      <c r="P74" s="15">
        <f t="shared" si="140"/>
        <v>1.5996876626756902</v>
      </c>
      <c r="Q74" s="15">
        <f t="shared" si="140"/>
        <v>1.5840707964601775</v>
      </c>
      <c r="R74" s="15">
        <f t="shared" si="140"/>
        <v>1.5860229047371166</v>
      </c>
      <c r="S74" s="15">
        <f t="shared" si="140"/>
        <v>1.5996876626756902</v>
      </c>
      <c r="T74" s="20">
        <f t="shared" si="46"/>
        <v>1.5899271212909947</v>
      </c>
      <c r="U74" s="40">
        <f t="shared" si="47"/>
        <v>7.6107191656498681E-3</v>
      </c>
      <c r="V74" s="109"/>
      <c r="W74" s="82">
        <v>15</v>
      </c>
      <c r="X74" s="20">
        <f>IFERROR(($N$20-N74)/W74,"")</f>
        <v>5.6611140031233758E-3</v>
      </c>
      <c r="Y74" s="15">
        <f>IFERROR(($O$20-O74)/W74,"")</f>
        <v>5.205622071837575E-3</v>
      </c>
      <c r="Z74" s="15">
        <f>IFERROR(($P$20-P74)/W74,"")</f>
        <v>5.0754815200416319E-3</v>
      </c>
      <c r="AA74" s="15">
        <f>IFERROR(($Q$20-Q74)/W74,"")</f>
        <v>5.6611140031233758E-3</v>
      </c>
      <c r="AB74" s="15">
        <f>IFERROR(($R$20-R74)/W74,"")</f>
        <v>5.205622071837575E-3</v>
      </c>
      <c r="AC74" s="15">
        <f>IFERROR(($S$20-S74)/W74,"")</f>
        <v>5.0754815200416319E-3</v>
      </c>
      <c r="AD74" s="20">
        <f t="shared" si="159"/>
        <v>5.3140725316675281E-3</v>
      </c>
      <c r="AE74" s="40">
        <f t="shared" si="152"/>
        <v>2.7504541877750792E-4</v>
      </c>
      <c r="AG74" s="229"/>
      <c r="AH74" s="77">
        <f>'Sample ID'!$F$12</f>
        <v>0</v>
      </c>
      <c r="AI74" s="77">
        <f>IFERROR((X74*$AH$38),"")</f>
        <v>0</v>
      </c>
      <c r="AJ74" s="77">
        <f t="shared" ref="AJ74" si="175">IFERROR((Y74*$AH$38),"")</f>
        <v>0</v>
      </c>
      <c r="AK74" s="77">
        <f t="shared" ref="AK74" si="176">IFERROR((Z74*$AH$38),"")</f>
        <v>0</v>
      </c>
      <c r="AL74" s="77">
        <f t="shared" ref="AL74" si="177">IFERROR((AA74*$AH$38),"")</f>
        <v>0</v>
      </c>
      <c r="AM74" s="77">
        <f t="shared" ref="AM74" si="178">IFERROR((AB74*$AH$38),"")</f>
        <v>0</v>
      </c>
      <c r="AN74" s="77">
        <f t="shared" ref="AN74" si="179">IFERROR((AC74*$AH$38),"")</f>
        <v>0</v>
      </c>
      <c r="AO74" s="40">
        <f t="shared" si="146"/>
        <v>0</v>
      </c>
      <c r="AP74" s="40">
        <f t="shared" si="158"/>
        <v>0</v>
      </c>
      <c r="AQ74" s="15"/>
      <c r="AR74" s="15"/>
    </row>
    <row r="75" spans="3:44">
      <c r="C75" s="199"/>
      <c r="D75" s="14" t="s">
        <v>23</v>
      </c>
      <c r="E75" s="15">
        <f>Data!B58</f>
        <v>0</v>
      </c>
      <c r="F75" s="15">
        <f>Data!C58</f>
        <v>0</v>
      </c>
      <c r="G75" s="15">
        <f>Data!D58</f>
        <v>0</v>
      </c>
      <c r="H75" s="15">
        <f>Data!E58</f>
        <v>0</v>
      </c>
      <c r="I75" s="15">
        <f>Data!F58</f>
        <v>0</v>
      </c>
      <c r="J75" s="15">
        <f>Data!G58</f>
        <v>0</v>
      </c>
      <c r="K75" s="15"/>
      <c r="L75" s="199"/>
      <c r="M75" s="129" t="s">
        <v>23</v>
      </c>
      <c r="N75" s="15" t="str">
        <f t="shared" si="140"/>
        <v xml:space="preserve"> </v>
      </c>
      <c r="O75" s="15" t="str">
        <f t="shared" si="140"/>
        <v xml:space="preserve"> </v>
      </c>
      <c r="P75" s="15" t="str">
        <f t="shared" si="140"/>
        <v xml:space="preserve"> </v>
      </c>
      <c r="Q75" s="15" t="str">
        <f t="shared" si="140"/>
        <v xml:space="preserve"> </v>
      </c>
      <c r="R75" s="15" t="str">
        <f t="shared" si="140"/>
        <v xml:space="preserve"> </v>
      </c>
      <c r="S75" s="15" t="str">
        <f t="shared" si="140"/>
        <v xml:space="preserve"> </v>
      </c>
      <c r="T75" s="20" t="str">
        <f t="shared" si="46"/>
        <v/>
      </c>
      <c r="U75" s="40" t="str">
        <f t="shared" si="47"/>
        <v/>
      </c>
      <c r="V75" s="109"/>
      <c r="W75" s="82">
        <v>15</v>
      </c>
      <c r="X75" s="20" t="str">
        <f>IFERROR(($N$21-N75)/W75,"")</f>
        <v/>
      </c>
      <c r="Y75" s="15" t="str">
        <f>IFERROR(($O$21-O75)/W75,"")</f>
        <v/>
      </c>
      <c r="Z75" s="15" t="str">
        <f>IFERROR(($P$21-P75)/W75,"")</f>
        <v/>
      </c>
      <c r="AA75" s="15" t="str">
        <f>IFERROR(($Q$21-Q75)/W75,"")</f>
        <v/>
      </c>
      <c r="AB75" s="15" t="str">
        <f>IFERROR(($R$21-R75)/W75,"")</f>
        <v/>
      </c>
      <c r="AC75" s="15" t="str">
        <f>IFERROR(($S$21-S75)/W75,"")</f>
        <v/>
      </c>
      <c r="AD75" s="20" t="str">
        <f t="shared" si="159"/>
        <v/>
      </c>
      <c r="AE75" s="40" t="str">
        <f t="shared" si="152"/>
        <v/>
      </c>
      <c r="AG75" s="229"/>
      <c r="AH75" s="77">
        <f>'Sample ID'!$F$13</f>
        <v>0</v>
      </c>
      <c r="AI75" s="77" t="str">
        <f>IFERROR((X75*$AH$39),"")</f>
        <v/>
      </c>
      <c r="AJ75" s="77" t="str">
        <f t="shared" ref="AJ75" si="180">IFERROR((Y75*$AH$39),"")</f>
        <v/>
      </c>
      <c r="AK75" s="77" t="str">
        <f t="shared" ref="AK75" si="181">IFERROR((Z75*$AH$39),"")</f>
        <v/>
      </c>
      <c r="AL75" s="77" t="str">
        <f t="shared" ref="AL75" si="182">IFERROR((AA75*$AH$39),"")</f>
        <v/>
      </c>
      <c r="AM75" s="77" t="str">
        <f t="shared" ref="AM75" si="183">IFERROR((AB75*$AH$39),"")</f>
        <v/>
      </c>
      <c r="AN75" s="77" t="str">
        <f t="shared" ref="AN75" si="184">IFERROR((AC75*$AH$39),"")</f>
        <v/>
      </c>
      <c r="AO75" s="40" t="str">
        <f t="shared" si="146"/>
        <v/>
      </c>
      <c r="AP75" s="40" t="str">
        <f t="shared" si="158"/>
        <v/>
      </c>
      <c r="AQ75" s="15"/>
      <c r="AR75" s="15"/>
    </row>
    <row r="76" spans="3:44">
      <c r="C76" s="199"/>
      <c r="D76" s="39"/>
      <c r="E76" s="56">
        <v>7</v>
      </c>
      <c r="F76" s="56">
        <v>8</v>
      </c>
      <c r="G76" s="57">
        <v>9</v>
      </c>
      <c r="H76" s="56">
        <v>10</v>
      </c>
      <c r="I76" s="56">
        <v>11</v>
      </c>
      <c r="J76" s="57">
        <v>12</v>
      </c>
      <c r="K76" s="19"/>
      <c r="L76" s="199"/>
      <c r="M76" s="38"/>
      <c r="N76" s="59">
        <v>7</v>
      </c>
      <c r="O76" s="38">
        <v>8</v>
      </c>
      <c r="P76" s="38">
        <v>9</v>
      </c>
      <c r="Q76" s="38">
        <v>10</v>
      </c>
      <c r="R76" s="38">
        <v>11</v>
      </c>
      <c r="S76" s="50">
        <v>12</v>
      </c>
      <c r="T76" s="38" t="s">
        <v>24</v>
      </c>
      <c r="U76" s="51" t="s">
        <v>3</v>
      </c>
      <c r="V76" s="109"/>
      <c r="W76" s="98"/>
      <c r="X76" s="38">
        <v>7</v>
      </c>
      <c r="Y76" s="38">
        <v>8</v>
      </c>
      <c r="Z76" s="38">
        <v>9</v>
      </c>
      <c r="AA76" s="38">
        <v>10</v>
      </c>
      <c r="AB76" s="38">
        <v>11</v>
      </c>
      <c r="AC76" s="50">
        <v>12</v>
      </c>
      <c r="AD76" s="50" t="s">
        <v>49</v>
      </c>
      <c r="AE76" s="51" t="s">
        <v>3</v>
      </c>
      <c r="AG76" s="229"/>
      <c r="AH76" s="119"/>
      <c r="AI76" s="119"/>
      <c r="AJ76" s="119"/>
      <c r="AK76" s="119"/>
      <c r="AL76" s="119"/>
      <c r="AM76" s="119"/>
      <c r="AN76" s="119"/>
      <c r="AO76" s="100"/>
      <c r="AP76" s="51" t="s">
        <v>3</v>
      </c>
      <c r="AQ76" s="15"/>
      <c r="AR76" s="15"/>
    </row>
    <row r="77" spans="3:44">
      <c r="C77" s="199"/>
      <c r="D77" s="14" t="s">
        <v>16</v>
      </c>
      <c r="E77" s="15">
        <f>Data!H51</f>
        <v>0</v>
      </c>
      <c r="F77" s="15">
        <f>Data!I51</f>
        <v>0</v>
      </c>
      <c r="G77" s="15">
        <f>Data!J51</f>
        <v>0</v>
      </c>
      <c r="H77" s="15">
        <f>Data!K51</f>
        <v>0</v>
      </c>
      <c r="I77" s="15">
        <f>Data!L51</f>
        <v>0</v>
      </c>
      <c r="J77" s="15">
        <f>Data!M51</f>
        <v>0</v>
      </c>
      <c r="K77" s="15"/>
      <c r="L77" s="199"/>
      <c r="M77" s="129" t="s">
        <v>16</v>
      </c>
      <c r="N77" s="15" t="str">
        <f t="shared" ref="N77:S84" si="185">IF(((E77-$P$11)/$P$10)&gt;0,((E77-$P$11)/$P$10)," ")</f>
        <v xml:space="preserve"> </v>
      </c>
      <c r="O77" s="15" t="str">
        <f t="shared" si="185"/>
        <v xml:space="preserve"> </v>
      </c>
      <c r="P77" s="15" t="str">
        <f t="shared" si="185"/>
        <v xml:space="preserve"> </v>
      </c>
      <c r="Q77" s="15" t="str">
        <f t="shared" si="185"/>
        <v xml:space="preserve"> </v>
      </c>
      <c r="R77" s="15" t="str">
        <f t="shared" si="185"/>
        <v xml:space="preserve"> </v>
      </c>
      <c r="S77" s="15" t="str">
        <f t="shared" si="185"/>
        <v xml:space="preserve"> </v>
      </c>
      <c r="T77" s="20" t="str">
        <f t="shared" si="46"/>
        <v/>
      </c>
      <c r="U77" s="40" t="str">
        <f t="shared" si="47"/>
        <v/>
      </c>
      <c r="V77" s="109"/>
      <c r="W77" s="82">
        <v>15</v>
      </c>
      <c r="X77" s="20" t="str">
        <f>IFERROR(($N$23-N77)/W77,"")</f>
        <v/>
      </c>
      <c r="Y77" s="15" t="str">
        <f>IFERROR(($O$23-O77)/W77,"")</f>
        <v/>
      </c>
      <c r="Z77" s="15" t="str">
        <f>IFERROR(($P$23-P77)/W77,"")</f>
        <v/>
      </c>
      <c r="AA77" s="15" t="str">
        <f>IFERROR(($Q$23-Q77)/W77,"")</f>
        <v/>
      </c>
      <c r="AB77" s="15" t="str">
        <f>IFERROR(($R$23-R77)/W77,"")</f>
        <v/>
      </c>
      <c r="AC77" s="15" t="str">
        <f>IFERROR(($S$23-S77)/W77,"")</f>
        <v/>
      </c>
      <c r="AD77" s="20" t="str">
        <f t="shared" ref="AD77:AD78" si="186">IFERROR(AVERAGE(X77:AC77), "")</f>
        <v/>
      </c>
      <c r="AE77" s="40" t="str">
        <f t="shared" ref="AE77:AE78" si="187">IFERROR(STDEV(X77:AC77), "")</f>
        <v/>
      </c>
      <c r="AG77" s="229"/>
      <c r="AH77" s="77">
        <f>'Sample ID'!$F$14</f>
        <v>0</v>
      </c>
      <c r="AI77" s="77" t="str">
        <f>IFERROR((X77*$AH$41),"")</f>
        <v/>
      </c>
      <c r="AJ77" s="77" t="str">
        <f t="shared" ref="AJ77" si="188">IFERROR((Y77*$AH$41),"")</f>
        <v/>
      </c>
      <c r="AK77" s="77" t="str">
        <f t="shared" ref="AK77" si="189">IFERROR((Z77*$AH$41),"")</f>
        <v/>
      </c>
      <c r="AL77" s="77" t="str">
        <f t="shared" ref="AL77" si="190">IFERROR((AA77*$AH$41),"")</f>
        <v/>
      </c>
      <c r="AM77" s="77" t="str">
        <f t="shared" ref="AM77" si="191">IFERROR((AB77*$AH$41),"")</f>
        <v/>
      </c>
      <c r="AN77" s="77" t="str">
        <f t="shared" ref="AN77" si="192">IFERROR((AC77*$AH$41),"")</f>
        <v/>
      </c>
      <c r="AO77" s="40" t="str">
        <f t="shared" ref="AO77:AO84" si="193">IFERROR(AD77*AH77,"")</f>
        <v/>
      </c>
      <c r="AP77" s="40" t="str">
        <f t="shared" ref="AP77:AP78" si="194">IFERROR(STDEV(AI77:AN77), "")</f>
        <v/>
      </c>
      <c r="AQ77" s="15"/>
      <c r="AR77" s="15"/>
    </row>
    <row r="78" spans="3:44">
      <c r="C78" s="199"/>
      <c r="D78" s="14" t="s">
        <v>17</v>
      </c>
      <c r="E78" s="15">
        <f>Data!H52</f>
        <v>0</v>
      </c>
      <c r="F78" s="15">
        <f>Data!I52</f>
        <v>0</v>
      </c>
      <c r="G78" s="15">
        <f>Data!J52</f>
        <v>0</v>
      </c>
      <c r="H78" s="15">
        <f>Data!K52</f>
        <v>0</v>
      </c>
      <c r="I78" s="15">
        <f>Data!L52</f>
        <v>0</v>
      </c>
      <c r="J78" s="15">
        <f>Data!M52</f>
        <v>0</v>
      </c>
      <c r="K78" s="15"/>
      <c r="L78" s="199"/>
      <c r="M78" s="129" t="s">
        <v>17</v>
      </c>
      <c r="N78" s="15" t="str">
        <f t="shared" si="185"/>
        <v xml:space="preserve"> </v>
      </c>
      <c r="O78" s="15" t="str">
        <f t="shared" si="185"/>
        <v xml:space="preserve"> </v>
      </c>
      <c r="P78" s="15" t="str">
        <f t="shared" si="185"/>
        <v xml:space="preserve"> </v>
      </c>
      <c r="Q78" s="15" t="str">
        <f t="shared" si="185"/>
        <v xml:space="preserve"> </v>
      </c>
      <c r="R78" s="15" t="str">
        <f t="shared" si="185"/>
        <v xml:space="preserve"> </v>
      </c>
      <c r="S78" s="15" t="str">
        <f t="shared" si="185"/>
        <v xml:space="preserve"> </v>
      </c>
      <c r="T78" s="20" t="str">
        <f t="shared" si="46"/>
        <v/>
      </c>
      <c r="U78" s="40" t="str">
        <f t="shared" si="47"/>
        <v/>
      </c>
      <c r="V78" s="109"/>
      <c r="W78" s="82">
        <v>15</v>
      </c>
      <c r="X78" s="20" t="str">
        <f>IFERROR(($N$24-N78)/W78,"")</f>
        <v/>
      </c>
      <c r="Y78" s="15" t="str">
        <f>IFERROR(($O$24-O78)/W78,"")</f>
        <v/>
      </c>
      <c r="Z78" s="15" t="str">
        <f>IFERROR(($P$24-P78)/W78,"")</f>
        <v/>
      </c>
      <c r="AA78" s="15" t="str">
        <f>IFERROR(($Q$24-Q78)/W78,"")</f>
        <v/>
      </c>
      <c r="AB78" s="15" t="str">
        <f>IFERROR(($R$24-R78)/W78,"")</f>
        <v/>
      </c>
      <c r="AC78" s="15" t="str">
        <f>IFERROR(($S$24-S78)/W78,"")</f>
        <v/>
      </c>
      <c r="AD78" s="20" t="str">
        <f t="shared" si="186"/>
        <v/>
      </c>
      <c r="AE78" s="40" t="str">
        <f t="shared" si="187"/>
        <v/>
      </c>
      <c r="AG78" s="229"/>
      <c r="AH78" s="77">
        <f>'Sample ID'!$F$15</f>
        <v>0</v>
      </c>
      <c r="AI78" s="77" t="str">
        <f>IFERROR((X78*$AH$42),"")</f>
        <v/>
      </c>
      <c r="AJ78" s="77" t="str">
        <f t="shared" ref="AJ78" si="195">IFERROR((Y78*$AH$42),"")</f>
        <v/>
      </c>
      <c r="AK78" s="77" t="str">
        <f t="shared" ref="AK78" si="196">IFERROR((Z78*$AH$42),"")</f>
        <v/>
      </c>
      <c r="AL78" s="77" t="str">
        <f t="shared" ref="AL78" si="197">IFERROR((AA78*$AH$42),"")</f>
        <v/>
      </c>
      <c r="AM78" s="77" t="str">
        <f t="shared" ref="AM78" si="198">IFERROR((AB78*$AH$42),"")</f>
        <v/>
      </c>
      <c r="AN78" s="77" t="str">
        <f t="shared" ref="AN78" si="199">IFERROR((AC78*$AH$42),"")</f>
        <v/>
      </c>
      <c r="AO78" s="40" t="str">
        <f t="shared" si="193"/>
        <v/>
      </c>
      <c r="AP78" s="40" t="str">
        <f t="shared" si="194"/>
        <v/>
      </c>
      <c r="AQ78" s="15"/>
      <c r="AR78" s="15"/>
    </row>
    <row r="79" spans="3:44">
      <c r="C79" s="199"/>
      <c r="D79" s="14" t="s">
        <v>18</v>
      </c>
      <c r="E79" s="15">
        <f>Data!H53</f>
        <v>0</v>
      </c>
      <c r="F79" s="15">
        <f>Data!I53</f>
        <v>0</v>
      </c>
      <c r="G79" s="15">
        <f>Data!J53</f>
        <v>0</v>
      </c>
      <c r="H79" s="15">
        <f>Data!K53</f>
        <v>0</v>
      </c>
      <c r="I79" s="15">
        <f>Data!L53</f>
        <v>0</v>
      </c>
      <c r="J79" s="15">
        <f>Data!M53</f>
        <v>0</v>
      </c>
      <c r="K79" s="15"/>
      <c r="L79" s="199"/>
      <c r="M79" s="129" t="s">
        <v>18</v>
      </c>
      <c r="N79" s="15" t="str">
        <f t="shared" si="185"/>
        <v xml:space="preserve"> </v>
      </c>
      <c r="O79" s="15" t="str">
        <f t="shared" si="185"/>
        <v xml:space="preserve"> </v>
      </c>
      <c r="P79" s="15" t="str">
        <f t="shared" si="185"/>
        <v xml:space="preserve"> </v>
      </c>
      <c r="Q79" s="15" t="str">
        <f t="shared" si="185"/>
        <v xml:space="preserve"> </v>
      </c>
      <c r="R79" s="15" t="str">
        <f t="shared" si="185"/>
        <v xml:space="preserve"> </v>
      </c>
      <c r="S79" s="15" t="str">
        <f t="shared" si="185"/>
        <v xml:space="preserve"> </v>
      </c>
      <c r="T79" s="20" t="str">
        <f t="shared" si="46"/>
        <v/>
      </c>
      <c r="U79" s="40" t="str">
        <f t="shared" si="47"/>
        <v/>
      </c>
      <c r="V79" s="109"/>
      <c r="W79" s="82">
        <v>15</v>
      </c>
      <c r="X79" s="20" t="str">
        <f>IFERROR(($N$25-N79)/W79,"")</f>
        <v/>
      </c>
      <c r="Y79" s="15" t="str">
        <f>IFERROR(($O$25-O79)/W79,"")</f>
        <v/>
      </c>
      <c r="Z79" s="15" t="str">
        <f>IFERROR(($P$25-P79)/W79,"")</f>
        <v/>
      </c>
      <c r="AA79" s="15" t="str">
        <f>IFERROR(($Q$25-Q79)/W79,"")</f>
        <v/>
      </c>
      <c r="AB79" s="15" t="str">
        <f>IFERROR(($R$25-R79)/W79,"")</f>
        <v/>
      </c>
      <c r="AC79" s="15" t="str">
        <f>IFERROR(($S$25-S79)/W79,"")</f>
        <v/>
      </c>
      <c r="AD79" s="20" t="str">
        <f>IFERROR(AVERAGE(X79:AC79), "")</f>
        <v/>
      </c>
      <c r="AE79" s="40" t="str">
        <f>IFERROR(STDEV(X79:AC79), "")</f>
        <v/>
      </c>
      <c r="AG79" s="229"/>
      <c r="AH79" s="77">
        <f>'Sample ID'!$F$16</f>
        <v>0</v>
      </c>
      <c r="AI79" s="77" t="str">
        <f>IFERROR((X79*$AH$43),"")</f>
        <v/>
      </c>
      <c r="AJ79" s="77" t="str">
        <f t="shared" ref="AJ79" si="200">IFERROR((Y79*$AH$43),"")</f>
        <v/>
      </c>
      <c r="AK79" s="77" t="str">
        <f t="shared" ref="AK79" si="201">IFERROR((Z79*$AH$43),"")</f>
        <v/>
      </c>
      <c r="AL79" s="77" t="str">
        <f t="shared" ref="AL79" si="202">IFERROR((AA79*$AH$43),"")</f>
        <v/>
      </c>
      <c r="AM79" s="77" t="str">
        <f t="shared" ref="AM79" si="203">IFERROR((AB79*$AH$43),"")</f>
        <v/>
      </c>
      <c r="AN79" s="77" t="str">
        <f t="shared" ref="AN79" si="204">IFERROR((AC79*$AH$43),"")</f>
        <v/>
      </c>
      <c r="AO79" s="40" t="str">
        <f t="shared" si="193"/>
        <v/>
      </c>
      <c r="AP79" s="40" t="str">
        <f>IFERROR(STDEV(AI79:AN79), "")</f>
        <v/>
      </c>
      <c r="AQ79" s="15"/>
      <c r="AR79" s="15"/>
    </row>
    <row r="80" spans="3:44">
      <c r="C80" s="199"/>
      <c r="D80" s="14" t="s">
        <v>19</v>
      </c>
      <c r="E80" s="15">
        <f>Data!H54</f>
        <v>0</v>
      </c>
      <c r="F80" s="15">
        <f>Data!I54</f>
        <v>0</v>
      </c>
      <c r="G80" s="15">
        <f>Data!J54</f>
        <v>0</v>
      </c>
      <c r="H80" s="15">
        <f>Data!K54</f>
        <v>0</v>
      </c>
      <c r="I80" s="15">
        <f>Data!L54</f>
        <v>0</v>
      </c>
      <c r="J80" s="15">
        <f>Data!M54</f>
        <v>0</v>
      </c>
      <c r="K80" s="15"/>
      <c r="L80" s="199"/>
      <c r="M80" s="129" t="s">
        <v>19</v>
      </c>
      <c r="N80" s="15" t="str">
        <f t="shared" si="185"/>
        <v xml:space="preserve"> </v>
      </c>
      <c r="O80" s="15" t="str">
        <f t="shared" si="185"/>
        <v xml:space="preserve"> </v>
      </c>
      <c r="P80" s="15" t="str">
        <f t="shared" si="185"/>
        <v xml:space="preserve"> </v>
      </c>
      <c r="Q80" s="15" t="str">
        <f t="shared" si="185"/>
        <v xml:space="preserve"> </v>
      </c>
      <c r="R80" s="15" t="str">
        <f t="shared" si="185"/>
        <v xml:space="preserve"> </v>
      </c>
      <c r="S80" s="15" t="str">
        <f t="shared" si="185"/>
        <v xml:space="preserve"> </v>
      </c>
      <c r="T80" s="20" t="str">
        <f t="shared" si="46"/>
        <v/>
      </c>
      <c r="U80" s="40" t="str">
        <f t="shared" si="47"/>
        <v/>
      </c>
      <c r="V80" s="109"/>
      <c r="W80" s="82">
        <v>15</v>
      </c>
      <c r="X80" s="20" t="str">
        <f>IFERROR(($N$26-N80)/W80,"")</f>
        <v/>
      </c>
      <c r="Y80" s="15" t="str">
        <f>IFERROR(($O$26-O80)/W80,"")</f>
        <v/>
      </c>
      <c r="Z80" s="15" t="str">
        <f>IFERROR(($P$26-P80)/W80,"")</f>
        <v/>
      </c>
      <c r="AA80" s="15" t="str">
        <f>IFERROR(($Q$17-Q80)/W80,"")</f>
        <v/>
      </c>
      <c r="AB80" s="15" t="str">
        <f>IFERROR(($R$26-R80)/W80,"")</f>
        <v/>
      </c>
      <c r="AC80" s="15" t="str">
        <f>IFERROR(($S$26-S80)/W80,"")</f>
        <v/>
      </c>
      <c r="AD80" s="20" t="str">
        <f t="shared" ref="AD80:AD83" si="205">IFERROR(AVERAGE(X80:AC80), "")</f>
        <v/>
      </c>
      <c r="AE80" s="40" t="str">
        <f t="shared" ref="AE80:AE84" si="206">IFERROR(STDEV(X80:AC80), "")</f>
        <v/>
      </c>
      <c r="AG80" s="229"/>
      <c r="AH80" s="77">
        <f>'Sample ID'!$F$17</f>
        <v>0</v>
      </c>
      <c r="AI80" s="77" t="str">
        <f>IFERROR((X80*$AH$44),"")</f>
        <v/>
      </c>
      <c r="AJ80" s="77" t="str">
        <f t="shared" ref="AJ80" si="207">IFERROR((Y80*$AH$44),"")</f>
        <v/>
      </c>
      <c r="AK80" s="77" t="str">
        <f t="shared" ref="AK80" si="208">IFERROR((Z80*$AH$44),"")</f>
        <v/>
      </c>
      <c r="AL80" s="77" t="str">
        <f t="shared" ref="AL80" si="209">IFERROR((AA80*$AH$44),"")</f>
        <v/>
      </c>
      <c r="AM80" s="77" t="str">
        <f t="shared" ref="AM80" si="210">IFERROR((AB80*$AH$44),"")</f>
        <v/>
      </c>
      <c r="AN80" s="77" t="str">
        <f t="shared" ref="AN80" si="211">IFERROR((AC80*$AH$44),"")</f>
        <v/>
      </c>
      <c r="AO80" s="40" t="str">
        <f t="shared" si="193"/>
        <v/>
      </c>
      <c r="AP80" s="40" t="str">
        <f t="shared" ref="AP80:AP84" si="212">IFERROR(STDEV(AI80:AN80), "")</f>
        <v/>
      </c>
      <c r="AQ80" s="15"/>
      <c r="AR80" s="15"/>
    </row>
    <row r="81" spans="3:44">
      <c r="C81" s="199"/>
      <c r="D81" s="14" t="s">
        <v>20</v>
      </c>
      <c r="E81" s="15">
        <f>Data!H55</f>
        <v>0</v>
      </c>
      <c r="F81" s="15">
        <f>Data!I55</f>
        <v>0</v>
      </c>
      <c r="G81" s="15">
        <f>Data!J55</f>
        <v>0</v>
      </c>
      <c r="H81" s="15">
        <f>Data!K55</f>
        <v>0</v>
      </c>
      <c r="I81" s="15">
        <f>Data!L55</f>
        <v>0</v>
      </c>
      <c r="J81" s="15">
        <f>Data!M55</f>
        <v>0</v>
      </c>
      <c r="K81" s="15"/>
      <c r="L81" s="199"/>
      <c r="M81" s="129" t="s">
        <v>20</v>
      </c>
      <c r="N81" s="15" t="str">
        <f t="shared" si="185"/>
        <v xml:space="preserve"> </v>
      </c>
      <c r="O81" s="15" t="str">
        <f t="shared" si="185"/>
        <v xml:space="preserve"> </v>
      </c>
      <c r="P81" s="15" t="str">
        <f t="shared" si="185"/>
        <v xml:space="preserve"> </v>
      </c>
      <c r="Q81" s="15" t="str">
        <f t="shared" si="185"/>
        <v xml:space="preserve"> </v>
      </c>
      <c r="R81" s="15" t="str">
        <f t="shared" si="185"/>
        <v xml:space="preserve"> </v>
      </c>
      <c r="S81" s="15" t="str">
        <f t="shared" si="185"/>
        <v xml:space="preserve"> </v>
      </c>
      <c r="T81" s="20" t="str">
        <f t="shared" ref="T81:T111" si="213">IFERROR(AVERAGE(N81:S81),"")</f>
        <v/>
      </c>
      <c r="U81" s="40" t="str">
        <f t="shared" ref="U81:U111" si="214">IFERROR(STDEV(N81:S81),"")</f>
        <v/>
      </c>
      <c r="V81" s="109"/>
      <c r="W81" s="82">
        <v>15</v>
      </c>
      <c r="X81" s="20" t="str">
        <f>IFERROR(($N$27-N81)/W81,"")</f>
        <v/>
      </c>
      <c r="Y81" s="15" t="str">
        <f>IFERROR(($O$27-O81)/W81,"")</f>
        <v/>
      </c>
      <c r="Z81" s="15" t="str">
        <f>IFERROR(($P$27-P81)/W81,"")</f>
        <v/>
      </c>
      <c r="AA81" s="15" t="str">
        <f>IFERROR(($Q$18-Q81)/W81,"")</f>
        <v/>
      </c>
      <c r="AB81" s="15" t="str">
        <f>IFERROR(($R$27-R81)/W81,"")</f>
        <v/>
      </c>
      <c r="AC81" s="15" t="str">
        <f>IFERROR(($S$27-S81)/W81,"")</f>
        <v/>
      </c>
      <c r="AD81" s="20" t="str">
        <f t="shared" si="205"/>
        <v/>
      </c>
      <c r="AE81" s="40" t="str">
        <f t="shared" si="206"/>
        <v/>
      </c>
      <c r="AG81" s="229"/>
      <c r="AH81" s="77">
        <f>'Sample ID'!$F$18</f>
        <v>0</v>
      </c>
      <c r="AI81" s="77" t="str">
        <f>IFERROR((X81*$AH$45),"")</f>
        <v/>
      </c>
      <c r="AJ81" s="77" t="str">
        <f t="shared" ref="AJ81" si="215">IFERROR((Y81*$AH$45),"")</f>
        <v/>
      </c>
      <c r="AK81" s="77" t="str">
        <f t="shared" ref="AK81" si="216">IFERROR((Z81*$AH$45),"")</f>
        <v/>
      </c>
      <c r="AL81" s="77" t="str">
        <f t="shared" ref="AL81" si="217">IFERROR((AA81*$AH$45),"")</f>
        <v/>
      </c>
      <c r="AM81" s="77" t="str">
        <f t="shared" ref="AM81" si="218">IFERROR((AB81*$AH$45),"")</f>
        <v/>
      </c>
      <c r="AN81" s="77" t="str">
        <f t="shared" ref="AN81" si="219">IFERROR((AC81*$AH$45),"")</f>
        <v/>
      </c>
      <c r="AO81" s="40" t="str">
        <f t="shared" si="193"/>
        <v/>
      </c>
      <c r="AP81" s="40" t="str">
        <f t="shared" si="212"/>
        <v/>
      </c>
      <c r="AQ81" s="15"/>
      <c r="AR81" s="15"/>
    </row>
    <row r="82" spans="3:44">
      <c r="C82" s="199"/>
      <c r="D82" s="14" t="s">
        <v>21</v>
      </c>
      <c r="E82" s="15">
        <f>Data!H56</f>
        <v>0</v>
      </c>
      <c r="F82" s="15">
        <f>Data!I56</f>
        <v>0</v>
      </c>
      <c r="G82" s="15">
        <f>Data!J56</f>
        <v>0</v>
      </c>
      <c r="H82" s="15">
        <f>Data!K56</f>
        <v>0</v>
      </c>
      <c r="I82" s="15">
        <f>Data!L56</f>
        <v>0</v>
      </c>
      <c r="J82" s="15">
        <f>Data!M56</f>
        <v>0</v>
      </c>
      <c r="K82" s="15"/>
      <c r="L82" s="199"/>
      <c r="M82" s="129" t="s">
        <v>21</v>
      </c>
      <c r="N82" s="15" t="str">
        <f t="shared" si="185"/>
        <v xml:space="preserve"> </v>
      </c>
      <c r="O82" s="15" t="str">
        <f t="shared" si="185"/>
        <v xml:space="preserve"> </v>
      </c>
      <c r="P82" s="15" t="str">
        <f t="shared" si="185"/>
        <v xml:space="preserve"> </v>
      </c>
      <c r="Q82" s="15" t="str">
        <f t="shared" si="185"/>
        <v xml:space="preserve"> </v>
      </c>
      <c r="R82" s="15" t="str">
        <f t="shared" si="185"/>
        <v xml:space="preserve"> </v>
      </c>
      <c r="S82" s="15" t="str">
        <f t="shared" si="185"/>
        <v xml:space="preserve"> </v>
      </c>
      <c r="T82" s="20" t="str">
        <f t="shared" si="213"/>
        <v/>
      </c>
      <c r="U82" s="40" t="str">
        <f t="shared" si="214"/>
        <v/>
      </c>
      <c r="V82" s="109"/>
      <c r="W82" s="82">
        <v>15</v>
      </c>
      <c r="X82" s="20" t="str">
        <f>IFERROR(($N$28-N82)/W82,"")</f>
        <v/>
      </c>
      <c r="Y82" s="15" t="str">
        <f>IFERROR(($O$28-O82)/W82,"")</f>
        <v/>
      </c>
      <c r="Z82" s="15" t="str">
        <f>IFERROR(($P$28-P82)/W82,"")</f>
        <v/>
      </c>
      <c r="AA82" s="15" t="str">
        <f>IFERROR(($Q$19-Q82)/W82,"")</f>
        <v/>
      </c>
      <c r="AB82" s="15" t="str">
        <f>IFERROR(($R$28-R82)/W82,"")</f>
        <v/>
      </c>
      <c r="AC82" s="15" t="str">
        <f>IFERROR(($S$28-S82)/W82,"")</f>
        <v/>
      </c>
      <c r="AD82" s="20" t="str">
        <f t="shared" si="205"/>
        <v/>
      </c>
      <c r="AE82" s="40" t="str">
        <f t="shared" si="206"/>
        <v/>
      </c>
      <c r="AG82" s="229"/>
      <c r="AH82" s="77">
        <f>'Sample ID'!$F$19</f>
        <v>0</v>
      </c>
      <c r="AI82" s="77" t="str">
        <f>IFERROR((X82*$AH$46),"")</f>
        <v/>
      </c>
      <c r="AJ82" s="77" t="str">
        <f t="shared" ref="AJ82" si="220">IFERROR((Y82*$AH$46),"")</f>
        <v/>
      </c>
      <c r="AK82" s="77" t="str">
        <f t="shared" ref="AK82" si="221">IFERROR((Z82*$AH$46),"")</f>
        <v/>
      </c>
      <c r="AL82" s="77" t="str">
        <f t="shared" ref="AL82" si="222">IFERROR((AA82*$AH$46),"")</f>
        <v/>
      </c>
      <c r="AM82" s="77" t="str">
        <f t="shared" ref="AM82" si="223">IFERROR((AB82*$AH$46),"")</f>
        <v/>
      </c>
      <c r="AN82" s="77" t="str">
        <f t="shared" ref="AN82" si="224">IFERROR((AC82*$AH$46),"")</f>
        <v/>
      </c>
      <c r="AO82" s="40" t="str">
        <f t="shared" si="193"/>
        <v/>
      </c>
      <c r="AP82" s="40" t="str">
        <f t="shared" si="212"/>
        <v/>
      </c>
      <c r="AQ82" s="15"/>
      <c r="AR82" s="15"/>
    </row>
    <row r="83" spans="3:44">
      <c r="C83" s="199"/>
      <c r="D83" s="14" t="s">
        <v>22</v>
      </c>
      <c r="E83" s="15">
        <f>Data!H57</f>
        <v>0</v>
      </c>
      <c r="F83" s="15">
        <f>Data!I57</f>
        <v>0</v>
      </c>
      <c r="G83" s="15">
        <f>Data!J57</f>
        <v>0</v>
      </c>
      <c r="H83" s="15">
        <f>Data!K57</f>
        <v>0</v>
      </c>
      <c r="I83" s="15">
        <f>Data!L57</f>
        <v>0</v>
      </c>
      <c r="J83" s="15">
        <f>Data!M57</f>
        <v>0</v>
      </c>
      <c r="K83" s="15"/>
      <c r="L83" s="199"/>
      <c r="M83" s="129" t="s">
        <v>22</v>
      </c>
      <c r="N83" s="15" t="str">
        <f t="shared" si="185"/>
        <v xml:space="preserve"> </v>
      </c>
      <c r="O83" s="15" t="str">
        <f t="shared" si="185"/>
        <v xml:space="preserve"> </v>
      </c>
      <c r="P83" s="15" t="str">
        <f t="shared" si="185"/>
        <v xml:space="preserve"> </v>
      </c>
      <c r="Q83" s="15" t="str">
        <f t="shared" si="185"/>
        <v xml:space="preserve"> </v>
      </c>
      <c r="R83" s="15" t="str">
        <f t="shared" si="185"/>
        <v xml:space="preserve"> </v>
      </c>
      <c r="S83" s="15" t="str">
        <f t="shared" si="185"/>
        <v xml:space="preserve"> </v>
      </c>
      <c r="T83" s="20" t="str">
        <f t="shared" si="213"/>
        <v/>
      </c>
      <c r="U83" s="40" t="str">
        <f t="shared" si="214"/>
        <v/>
      </c>
      <c r="V83" s="109"/>
      <c r="W83" s="82">
        <v>15</v>
      </c>
      <c r="X83" s="20" t="str">
        <f>IFERROR(($N$29-N83)/W83,"")</f>
        <v/>
      </c>
      <c r="Y83" s="15" t="str">
        <f>IFERROR(($O$29-O83)/W83,"")</f>
        <v/>
      </c>
      <c r="Z83" s="15" t="str">
        <f>IFERROR(($P$29-P83)/W83,"")</f>
        <v/>
      </c>
      <c r="AA83" s="15" t="str">
        <f>IFERROR(($Q$20-Q83)/W83,"")</f>
        <v/>
      </c>
      <c r="AB83" s="15" t="str">
        <f>IFERROR(($R$29-R83)/W83,"")</f>
        <v/>
      </c>
      <c r="AC83" s="15" t="str">
        <f>IFERROR(($S$29-S83)/W83,"")</f>
        <v/>
      </c>
      <c r="AD83" s="20" t="str">
        <f t="shared" si="205"/>
        <v/>
      </c>
      <c r="AE83" s="40" t="str">
        <f t="shared" si="206"/>
        <v/>
      </c>
      <c r="AG83" s="229"/>
      <c r="AH83" s="77">
        <f>'Sample ID'!$F$20</f>
        <v>0</v>
      </c>
      <c r="AI83" s="77" t="str">
        <f>IFERROR((X83*$AH$47),"")</f>
        <v/>
      </c>
      <c r="AJ83" s="77" t="str">
        <f t="shared" ref="AJ83" si="225">IFERROR((Y83*$AH$47),"")</f>
        <v/>
      </c>
      <c r="AK83" s="77" t="str">
        <f t="shared" ref="AK83" si="226">IFERROR((Z83*$AH$47),"")</f>
        <v/>
      </c>
      <c r="AL83" s="77" t="str">
        <f t="shared" ref="AL83" si="227">IFERROR((AA83*$AH$47),"")</f>
        <v/>
      </c>
      <c r="AM83" s="77" t="str">
        <f t="shared" ref="AM83" si="228">IFERROR((AB83*$AH$47),"")</f>
        <v/>
      </c>
      <c r="AN83" s="77" t="str">
        <f t="shared" ref="AN83" si="229">IFERROR((AC83*$AH$47),"")</f>
        <v/>
      </c>
      <c r="AO83" s="40" t="str">
        <f t="shared" si="193"/>
        <v/>
      </c>
      <c r="AP83" s="40" t="str">
        <f t="shared" si="212"/>
        <v/>
      </c>
      <c r="AQ83" s="15"/>
      <c r="AR83" s="15"/>
    </row>
    <row r="84" spans="3:44">
      <c r="C84" s="199"/>
      <c r="D84" s="14" t="s">
        <v>23</v>
      </c>
      <c r="E84" s="15">
        <f>Data!H58</f>
        <v>0</v>
      </c>
      <c r="F84" s="15">
        <f>Data!I58</f>
        <v>0</v>
      </c>
      <c r="G84" s="15">
        <f>Data!J58</f>
        <v>0</v>
      </c>
      <c r="H84" s="15">
        <f>Data!K58</f>
        <v>0</v>
      </c>
      <c r="I84" s="15">
        <f>Data!L58</f>
        <v>0</v>
      </c>
      <c r="J84" s="15">
        <f>Data!M58</f>
        <v>0</v>
      </c>
      <c r="K84" s="15"/>
      <c r="L84" s="199"/>
      <c r="M84" s="129" t="s">
        <v>23</v>
      </c>
      <c r="N84" s="15" t="str">
        <f t="shared" si="185"/>
        <v xml:space="preserve"> </v>
      </c>
      <c r="O84" s="15" t="str">
        <f t="shared" si="185"/>
        <v xml:space="preserve"> </v>
      </c>
      <c r="P84" s="15" t="str">
        <f t="shared" si="185"/>
        <v xml:space="preserve"> </v>
      </c>
      <c r="Q84" s="15" t="str">
        <f t="shared" si="185"/>
        <v xml:space="preserve"> </v>
      </c>
      <c r="R84" s="15" t="str">
        <f t="shared" si="185"/>
        <v xml:space="preserve"> </v>
      </c>
      <c r="S84" s="15" t="str">
        <f t="shared" si="185"/>
        <v xml:space="preserve"> </v>
      </c>
      <c r="T84" s="20" t="str">
        <f t="shared" si="213"/>
        <v/>
      </c>
      <c r="U84" s="40" t="str">
        <f t="shared" si="214"/>
        <v/>
      </c>
      <c r="V84" s="109"/>
      <c r="W84" s="82">
        <v>15</v>
      </c>
      <c r="X84" s="20" t="str">
        <f>IFERROR(($N$30-N84)/W84,"")</f>
        <v/>
      </c>
      <c r="Y84" s="15" t="str">
        <f>IFERROR(($O$30-O84)/W84,"")</f>
        <v/>
      </c>
      <c r="Z84" s="15" t="str">
        <f>IFERROR(($P$30-P84)/W84,"")</f>
        <v/>
      </c>
      <c r="AA84" s="15" t="str">
        <f>IFERROR(($Q$21-Q84)/W84,"")</f>
        <v/>
      </c>
      <c r="AB84" s="17" t="str">
        <f>IFERROR(($R$30-R84)/W84,"")</f>
        <v/>
      </c>
      <c r="AC84" s="15" t="str">
        <f>IFERROR(($S$30-S84)/W84,"")</f>
        <v/>
      </c>
      <c r="AD84" s="20" t="str">
        <f>IFERROR(AVERAGE(X84:AC84), "")</f>
        <v/>
      </c>
      <c r="AE84" s="40" t="str">
        <f t="shared" si="206"/>
        <v/>
      </c>
      <c r="AG84" s="230"/>
      <c r="AH84" s="77">
        <f>'Sample ID'!$F$21</f>
        <v>0</v>
      </c>
      <c r="AI84" s="77" t="str">
        <f>IFERROR((X84*$AH$48),"")</f>
        <v/>
      </c>
      <c r="AJ84" s="77" t="str">
        <f t="shared" ref="AJ84" si="230">IFERROR((Y84*$AH$48),"")</f>
        <v/>
      </c>
      <c r="AK84" s="77" t="str">
        <f t="shared" ref="AK84" si="231">IFERROR((Z84*$AH$48),"")</f>
        <v/>
      </c>
      <c r="AL84" s="77" t="str">
        <f t="shared" ref="AL84" si="232">IFERROR((AA84*$AH$48),"")</f>
        <v/>
      </c>
      <c r="AM84" s="77" t="str">
        <f t="shared" ref="AM84" si="233">IFERROR((AB84*$AH$48),"")</f>
        <v/>
      </c>
      <c r="AN84" s="77" t="str">
        <f t="shared" ref="AN84" si="234">IFERROR((AC84*$AH$48),"")</f>
        <v/>
      </c>
      <c r="AO84" s="40" t="str">
        <f t="shared" si="193"/>
        <v/>
      </c>
      <c r="AP84" s="40" t="str">
        <f t="shared" si="212"/>
        <v/>
      </c>
      <c r="AQ84" s="15"/>
      <c r="AR84" s="15"/>
    </row>
    <row r="85" spans="3:44">
      <c r="C85" s="199">
        <v>20</v>
      </c>
      <c r="D85" s="50"/>
      <c r="E85" s="58">
        <v>1</v>
      </c>
      <c r="F85" s="58">
        <v>2</v>
      </c>
      <c r="G85" s="59">
        <v>3</v>
      </c>
      <c r="H85" s="56">
        <v>4</v>
      </c>
      <c r="I85" s="56">
        <v>5</v>
      </c>
      <c r="J85" s="57">
        <v>6</v>
      </c>
      <c r="K85" s="19"/>
      <c r="L85" s="199">
        <v>20</v>
      </c>
      <c r="M85" s="38"/>
      <c r="N85" s="59">
        <v>1</v>
      </c>
      <c r="O85" s="38">
        <v>2</v>
      </c>
      <c r="P85" s="38">
        <v>3</v>
      </c>
      <c r="Q85" s="38">
        <v>4</v>
      </c>
      <c r="R85" s="38">
        <v>5</v>
      </c>
      <c r="S85" s="50">
        <v>6</v>
      </c>
      <c r="T85" s="38" t="s">
        <v>24</v>
      </c>
      <c r="U85" s="51" t="s">
        <v>3</v>
      </c>
      <c r="V85" s="109"/>
      <c r="W85" s="38" t="s">
        <v>34</v>
      </c>
      <c r="X85" s="38">
        <v>1</v>
      </c>
      <c r="Y85" s="38">
        <v>2</v>
      </c>
      <c r="Z85" s="38">
        <v>3</v>
      </c>
      <c r="AA85" s="38">
        <v>4</v>
      </c>
      <c r="AB85" s="38">
        <v>5</v>
      </c>
      <c r="AC85" s="50">
        <v>6</v>
      </c>
      <c r="AD85" s="50" t="s">
        <v>49</v>
      </c>
      <c r="AE85" s="51" t="s">
        <v>3</v>
      </c>
      <c r="AF85" s="69"/>
      <c r="AG85" s="231">
        <v>20</v>
      </c>
      <c r="AH85" s="38" t="s">
        <v>35</v>
      </c>
      <c r="AI85" s="38"/>
      <c r="AJ85" s="38"/>
      <c r="AK85" s="38"/>
      <c r="AL85" s="38"/>
      <c r="AM85" s="38"/>
      <c r="AN85" s="38"/>
      <c r="AO85" s="52" t="s">
        <v>36</v>
      </c>
      <c r="AP85" s="51" t="s">
        <v>3</v>
      </c>
      <c r="AQ85" s="15"/>
      <c r="AR85" s="15"/>
    </row>
    <row r="86" spans="3:44">
      <c r="C86" s="199"/>
      <c r="D86" s="14" t="s">
        <v>16</v>
      </c>
      <c r="E86" s="15">
        <f>Data!B63</f>
        <v>1.948</v>
      </c>
      <c r="F86" s="15">
        <f>Data!C63</f>
        <v>1.9359999999999999</v>
      </c>
      <c r="G86" s="15">
        <f>Data!D63</f>
        <v>1.9610000000000001</v>
      </c>
      <c r="H86" s="15">
        <f>Data!E63</f>
        <v>1.948</v>
      </c>
      <c r="I86" s="15">
        <f>Data!F63</f>
        <v>1.9359999999999999</v>
      </c>
      <c r="J86" s="15">
        <f>Data!G63</f>
        <v>1.9610000000000001</v>
      </c>
      <c r="K86" s="15"/>
      <c r="L86" s="199"/>
      <c r="M86" s="129" t="s">
        <v>16</v>
      </c>
      <c r="N86" s="15">
        <f t="shared" ref="N86:S93" si="235">IF(((E86-$P$11)/$P$10)&gt;0,((E86-$P$11)/$P$10)," ")</f>
        <v>1.7090057261842793</v>
      </c>
      <c r="O86" s="15">
        <f t="shared" si="235"/>
        <v>1.6972930765226448</v>
      </c>
      <c r="P86" s="15">
        <f t="shared" si="235"/>
        <v>1.7216944299843835</v>
      </c>
      <c r="Q86" s="15">
        <f t="shared" si="235"/>
        <v>1.7090057261842793</v>
      </c>
      <c r="R86" s="15">
        <f t="shared" si="235"/>
        <v>1.6972930765226448</v>
      </c>
      <c r="S86" s="15">
        <f t="shared" si="235"/>
        <v>1.7216944299843835</v>
      </c>
      <c r="T86" s="20">
        <f t="shared" si="213"/>
        <v>1.7093310775637693</v>
      </c>
      <c r="U86" s="40">
        <f t="shared" si="214"/>
        <v>1.0915526659993218E-2</v>
      </c>
      <c r="V86" s="109"/>
      <c r="W86" s="82">
        <v>20</v>
      </c>
      <c r="X86" s="20">
        <f>IFERROR(($N$14-N86)/W86,"")</f>
        <v>1.122462259239987E-3</v>
      </c>
      <c r="Y86" s="15">
        <f>IFERROR(($O$14-O86)/W86,"")</f>
        <v>1.6592920353982298E-3</v>
      </c>
      <c r="Z86" s="15">
        <f>IFERROR(($P$14-P86)/W86,"")</f>
        <v>1.8545028630921445E-3</v>
      </c>
      <c r="AA86" s="15">
        <f>IFERROR(($Q$14-Q86)/W86,"")</f>
        <v>1.122462259239987E-3</v>
      </c>
      <c r="AB86" s="15">
        <f>IFERROR(($R$14-R86)/W86,"")</f>
        <v>1.6592920353982298E-3</v>
      </c>
      <c r="AC86" s="15">
        <f>IFERROR(($S$14-S86)/W86,"")</f>
        <v>1.8545028630921445E-3</v>
      </c>
      <c r="AD86" s="20">
        <f>IFERROR(AVERAGE(X86:AC86), "")</f>
        <v>1.545419052576787E-3</v>
      </c>
      <c r="AE86" s="40">
        <f>IFERROR(STDEV(X86:AC86), "")</f>
        <v>3.3905297944073257E-4</v>
      </c>
      <c r="AG86" s="229"/>
      <c r="AH86" s="76">
        <f>'Sample ID'!$F$6</f>
        <v>1</v>
      </c>
      <c r="AI86" s="77">
        <f>IFERROR((X86*$AH$32),"")</f>
        <v>1.122462259239987E-3</v>
      </c>
      <c r="AJ86" s="77">
        <f t="shared" ref="AJ86" si="236">IFERROR((Y86*$AH$32),"")</f>
        <v>1.6592920353982298E-3</v>
      </c>
      <c r="AK86" s="77">
        <f t="shared" ref="AK86" si="237">IFERROR((Z86*$AH$32),"")</f>
        <v>1.8545028630921445E-3</v>
      </c>
      <c r="AL86" s="77">
        <f t="shared" ref="AL86" si="238">IFERROR((AA86*$AH$32),"")</f>
        <v>1.122462259239987E-3</v>
      </c>
      <c r="AM86" s="77">
        <f t="shared" ref="AM86" si="239">IFERROR((AB86*$AH$32),"")</f>
        <v>1.6592920353982298E-3</v>
      </c>
      <c r="AN86" s="77">
        <f t="shared" ref="AN86" si="240">IFERROR((AC86*$AH$32),"")</f>
        <v>1.8545028630921445E-3</v>
      </c>
      <c r="AO86" s="40">
        <f>IFERROR(AVERAGE(AI86:AN86),"")</f>
        <v>1.545419052576787E-3</v>
      </c>
      <c r="AP86" s="40">
        <f>IFERROR(STDEV(AI86:AN86), "")</f>
        <v>3.3905297944073257E-4</v>
      </c>
      <c r="AQ86" s="15"/>
      <c r="AR86" s="15"/>
    </row>
    <row r="87" spans="3:44">
      <c r="C87" s="199"/>
      <c r="D87" s="14" t="s">
        <v>17</v>
      </c>
      <c r="E87" s="15">
        <f>Data!B64</f>
        <v>1.988</v>
      </c>
      <c r="F87" s="15">
        <f>Data!C64</f>
        <v>1.9950000000000001</v>
      </c>
      <c r="G87" s="15">
        <f>Data!D64</f>
        <v>2</v>
      </c>
      <c r="H87" s="15">
        <f>Data!E64</f>
        <v>1.988</v>
      </c>
      <c r="I87" s="15">
        <f>Data!F64</f>
        <v>1.9950000000000001</v>
      </c>
      <c r="J87" s="15">
        <f>Data!G64</f>
        <v>2</v>
      </c>
      <c r="K87" s="15"/>
      <c r="L87" s="199"/>
      <c r="M87" s="129" t="s">
        <v>17</v>
      </c>
      <c r="N87" s="15">
        <f t="shared" si="235"/>
        <v>1.7480478917230613</v>
      </c>
      <c r="O87" s="15">
        <f t="shared" si="235"/>
        <v>1.7548802706923483</v>
      </c>
      <c r="P87" s="15">
        <f t="shared" si="235"/>
        <v>1.759760541384696</v>
      </c>
      <c r="Q87" s="15">
        <f t="shared" si="235"/>
        <v>1.7480478917230613</v>
      </c>
      <c r="R87" s="15">
        <f t="shared" si="235"/>
        <v>1.7548802706923483</v>
      </c>
      <c r="S87" s="15">
        <f t="shared" si="235"/>
        <v>1.759760541384696</v>
      </c>
      <c r="T87" s="20">
        <f t="shared" si="213"/>
        <v>1.7542295679333684</v>
      </c>
      <c r="U87" s="40">
        <f t="shared" si="214"/>
        <v>5.2622505515762391E-3</v>
      </c>
      <c r="V87" s="109"/>
      <c r="W87" s="82">
        <v>20</v>
      </c>
      <c r="X87" s="20">
        <f>IFERROR(($N$15-N87)/W87,"")</f>
        <v>-1.220067673086933E-3</v>
      </c>
      <c r="Y87" s="15">
        <f>IFERROR(($O$15-O87)/W87,"")</f>
        <v>-1.7080947423217196E-3</v>
      </c>
      <c r="Z87" s="15">
        <f>IFERROR(($P$15-P87)/W87,"")</f>
        <v>-1.366475793857369E-3</v>
      </c>
      <c r="AA87" s="15">
        <f>IFERROR(($Q$15-Q87)/W87,"")</f>
        <v>-1.220067673086933E-3</v>
      </c>
      <c r="AB87" s="15">
        <f>IFERROR(($R$15-R87)/W87,"")</f>
        <v>-1.7080947423217196E-3</v>
      </c>
      <c r="AC87" s="15">
        <f>IFERROR(($S$15-S87)/W87,"")</f>
        <v>-1.366475793857369E-3</v>
      </c>
      <c r="AD87" s="20">
        <f>IFERROR(AVERAGE(X87:AC87), "")</f>
        <v>-1.4315460697553407E-3</v>
      </c>
      <c r="AE87" s="40">
        <f>IFERROR(STDEV(X87:AC87), "")</f>
        <v>2.2399680476391156E-4</v>
      </c>
      <c r="AG87" s="229"/>
      <c r="AH87" s="77">
        <f>'Sample ID'!$F$7</f>
        <v>1</v>
      </c>
      <c r="AI87" s="77">
        <f>IFERROR((X87*$AH$33),"")</f>
        <v>-1.220067673086933E-3</v>
      </c>
      <c r="AJ87" s="77">
        <f t="shared" ref="AJ87" si="241">IFERROR((Y87*$AH$33),"")</f>
        <v>-1.7080947423217196E-3</v>
      </c>
      <c r="AK87" s="77">
        <f t="shared" ref="AK87" si="242">IFERROR((Z87*$AH$33),"")</f>
        <v>-1.366475793857369E-3</v>
      </c>
      <c r="AL87" s="77">
        <f t="shared" ref="AL87" si="243">IFERROR((AA87*$AH$33),"")</f>
        <v>-1.220067673086933E-3</v>
      </c>
      <c r="AM87" s="77">
        <f t="shared" ref="AM87" si="244">IFERROR((AB87*$AH$33),"")</f>
        <v>-1.7080947423217196E-3</v>
      </c>
      <c r="AN87" s="77">
        <f t="shared" ref="AN87" si="245">IFERROR((AC87*$AH$33),"")</f>
        <v>-1.366475793857369E-3</v>
      </c>
      <c r="AO87" s="40">
        <f t="shared" ref="AO87:AO93" si="246">IFERROR(AVERAGE(AI87:AN87),"")</f>
        <v>-1.4315460697553407E-3</v>
      </c>
      <c r="AP87" s="40">
        <f>IFERROR(STDEV(AI87:AN87), "")</f>
        <v>2.2399680476391156E-4</v>
      </c>
      <c r="AQ87" s="15"/>
      <c r="AR87" s="15"/>
    </row>
    <row r="88" spans="3:44">
      <c r="C88" s="199"/>
      <c r="D88" s="14" t="s">
        <v>18</v>
      </c>
      <c r="E88" s="15">
        <f>Data!B65</f>
        <v>2.004</v>
      </c>
      <c r="F88" s="15">
        <f>Data!C65</f>
        <v>2.012</v>
      </c>
      <c r="G88" s="15">
        <f>Data!D65</f>
        <v>2.0350000000000001</v>
      </c>
      <c r="H88" s="15">
        <f>Data!E65</f>
        <v>2.004</v>
      </c>
      <c r="I88" s="15">
        <f>Data!F65</f>
        <v>2.012</v>
      </c>
      <c r="J88" s="15">
        <f>Data!G65</f>
        <v>2.0350000000000001</v>
      </c>
      <c r="K88" s="15"/>
      <c r="L88" s="199"/>
      <c r="M88" s="129" t="s">
        <v>18</v>
      </c>
      <c r="N88" s="15">
        <f t="shared" si="235"/>
        <v>1.763664757938574</v>
      </c>
      <c r="O88" s="15">
        <f t="shared" si="235"/>
        <v>1.7714731910463304</v>
      </c>
      <c r="P88" s="15">
        <f t="shared" si="235"/>
        <v>1.7939224362311301</v>
      </c>
      <c r="Q88" s="15">
        <f t="shared" si="235"/>
        <v>1.763664757938574</v>
      </c>
      <c r="R88" s="15">
        <f t="shared" si="235"/>
        <v>1.7714731910463304</v>
      </c>
      <c r="S88" s="15">
        <f t="shared" si="235"/>
        <v>1.7939224362311301</v>
      </c>
      <c r="T88" s="20">
        <f t="shared" si="213"/>
        <v>1.7763534617386785</v>
      </c>
      <c r="U88" s="40">
        <f t="shared" si="214"/>
        <v>1.4049756024554924E-2</v>
      </c>
      <c r="V88" s="109"/>
      <c r="W88" s="82">
        <v>20</v>
      </c>
      <c r="X88" s="20">
        <f>IFERROR(($N$16-N88)/W88,"")</f>
        <v>-1.220067673086933E-3</v>
      </c>
      <c r="Y88" s="15">
        <f>IFERROR(($O$16-O88)/W88,"")</f>
        <v>-5.8563248308172164E-4</v>
      </c>
      <c r="Z88" s="15">
        <f>IFERROR(($P$16-P88)/W88,"")</f>
        <v>-3.9042165538781813E-4</v>
      </c>
      <c r="AA88" s="15">
        <f>IFERROR(($Q$16-Q88)/W88,"")</f>
        <v>-1.220067673086933E-3</v>
      </c>
      <c r="AB88" s="15">
        <f>IFERROR(($R$16-R88)/W88,"")</f>
        <v>-5.8563248308172164E-4</v>
      </c>
      <c r="AC88" s="15">
        <f>IFERROR(($S$16-S88)/W88,"")</f>
        <v>-3.9042165538781813E-4</v>
      </c>
      <c r="AD88" s="20">
        <f>IFERROR(AVERAGE(X88:AC88), "")</f>
        <v>-7.3204060385215761E-4</v>
      </c>
      <c r="AE88" s="40">
        <f t="shared" ref="AE88:AE93" si="247">IFERROR(STDEV(X88:AC88), "")</f>
        <v>3.8797384658417159E-4</v>
      </c>
      <c r="AG88" s="229"/>
      <c r="AH88" s="77">
        <f>'Sample ID'!$F$8</f>
        <v>1</v>
      </c>
      <c r="AI88" s="77">
        <f>IFERROR((X88*$AH$34),"")</f>
        <v>-1.220067673086933E-3</v>
      </c>
      <c r="AJ88" s="77">
        <f t="shared" ref="AJ88" si="248">IFERROR((Y88*$AH$34),"")</f>
        <v>-5.8563248308172164E-4</v>
      </c>
      <c r="AK88" s="77">
        <f t="shared" ref="AK88" si="249">IFERROR((Z88*$AH$34),"")</f>
        <v>-3.9042165538781813E-4</v>
      </c>
      <c r="AL88" s="77">
        <f t="shared" ref="AL88" si="250">IFERROR((AA88*$AH$34),"")</f>
        <v>-1.220067673086933E-3</v>
      </c>
      <c r="AM88" s="77">
        <f t="shared" ref="AM88" si="251">IFERROR((AB88*$AH$34),"")</f>
        <v>-5.8563248308172164E-4</v>
      </c>
      <c r="AN88" s="77">
        <f t="shared" ref="AN88" si="252">IFERROR((AC88*$AH$34),"")</f>
        <v>-3.9042165538781813E-4</v>
      </c>
      <c r="AO88" s="40">
        <f t="shared" si="246"/>
        <v>-7.3204060385215761E-4</v>
      </c>
      <c r="AP88" s="40">
        <f t="shared" ref="AP88:AP93" si="253">IFERROR(STDEV(AI88:AN88), "")</f>
        <v>3.8797384658417159E-4</v>
      </c>
      <c r="AQ88" s="15"/>
      <c r="AR88" s="15"/>
    </row>
    <row r="89" spans="3:44">
      <c r="C89" s="199"/>
      <c r="D89" s="14" t="s">
        <v>19</v>
      </c>
      <c r="E89" s="15">
        <f>Data!B66</f>
        <v>2.2400000000000002</v>
      </c>
      <c r="F89" s="15">
        <f>Data!C66</f>
        <v>2.246</v>
      </c>
      <c r="G89" s="15">
        <f>Data!D66</f>
        <v>2.2429999999999999</v>
      </c>
      <c r="H89" s="15">
        <f>Data!E66</f>
        <v>2.2400000000000002</v>
      </c>
      <c r="I89" s="15">
        <f>Data!F66</f>
        <v>2.246</v>
      </c>
      <c r="J89" s="15">
        <f>Data!G66</f>
        <v>2.2429999999999999</v>
      </c>
      <c r="K89" s="15"/>
      <c r="L89" s="199"/>
      <c r="M89" s="129" t="s">
        <v>19</v>
      </c>
      <c r="N89" s="15">
        <f t="shared" si="235"/>
        <v>1.9940135346173875</v>
      </c>
      <c r="O89" s="15">
        <f t="shared" si="235"/>
        <v>1.9998698594482045</v>
      </c>
      <c r="P89" s="15">
        <f t="shared" si="235"/>
        <v>1.9969416970327958</v>
      </c>
      <c r="Q89" s="15">
        <f t="shared" si="235"/>
        <v>1.9940135346173875</v>
      </c>
      <c r="R89" s="15">
        <f t="shared" si="235"/>
        <v>1.9998698594482045</v>
      </c>
      <c r="S89" s="15">
        <f t="shared" si="235"/>
        <v>1.9969416970327958</v>
      </c>
      <c r="T89" s="20">
        <f t="shared" si="213"/>
        <v>1.9969416970327958</v>
      </c>
      <c r="U89" s="40">
        <f t="shared" si="214"/>
        <v>2.6190280840053511E-3</v>
      </c>
      <c r="V89" s="109"/>
      <c r="W89" s="82">
        <v>20</v>
      </c>
      <c r="X89" s="20">
        <f>IFERROR(($N$17-N89)/W89,"")</f>
        <v>-9.2725143154607226E-3</v>
      </c>
      <c r="Y89" s="15">
        <f>IFERROR(($O$17-O89)/W89,"")</f>
        <v>-9.7117386777719854E-3</v>
      </c>
      <c r="Z89" s="15">
        <f>IFERROR(($P$17-P89)/W89,"")</f>
        <v>-9.1749089016137323E-3</v>
      </c>
      <c r="AA89" s="15">
        <f>IFERROR(($Q$17-Q89)/W89,"")</f>
        <v>-9.2725143154607226E-3</v>
      </c>
      <c r="AB89" s="15">
        <f>IFERROR(($R$17-R89)/W89,"")</f>
        <v>-9.7117386777719854E-3</v>
      </c>
      <c r="AC89" s="15">
        <f>IFERROR(($S$17-S89)/W89,"")</f>
        <v>-9.1749089016137323E-3</v>
      </c>
      <c r="AD89" s="20">
        <f t="shared" ref="AD89:AD93" si="254">IFERROR(AVERAGE(X89:AC89), "")</f>
        <v>-9.3863872982821468E-3</v>
      </c>
      <c r="AE89" s="40">
        <f t="shared" si="247"/>
        <v>2.5576840196555369E-4</v>
      </c>
      <c r="AG89" s="229"/>
      <c r="AH89" s="77">
        <f>'Sample ID'!$F$9</f>
        <v>1</v>
      </c>
      <c r="AI89" s="77">
        <f>IFERROR((X89*$AH$35),"")</f>
        <v>-9.2725143154607226E-3</v>
      </c>
      <c r="AJ89" s="77">
        <f t="shared" ref="AJ89" si="255">IFERROR((Y89*$AH$35),"")</f>
        <v>-9.7117386777719854E-3</v>
      </c>
      <c r="AK89" s="77">
        <f t="shared" ref="AK89" si="256">IFERROR((Z89*$AH$35),"")</f>
        <v>-9.1749089016137323E-3</v>
      </c>
      <c r="AL89" s="77">
        <f t="shared" ref="AL89" si="257">IFERROR((AA89*$AH$35),"")</f>
        <v>-9.2725143154607226E-3</v>
      </c>
      <c r="AM89" s="77">
        <f t="shared" ref="AM89" si="258">IFERROR((AB89*$AH$35),"")</f>
        <v>-9.7117386777719854E-3</v>
      </c>
      <c r="AN89" s="77">
        <f t="shared" ref="AN89" si="259">IFERROR((AC89*$AH$35),"")</f>
        <v>-9.1749089016137323E-3</v>
      </c>
      <c r="AO89" s="40">
        <f t="shared" si="246"/>
        <v>-9.3863872982821468E-3</v>
      </c>
      <c r="AP89" s="40">
        <f t="shared" si="253"/>
        <v>2.5576840196555369E-4</v>
      </c>
      <c r="AQ89" s="15"/>
      <c r="AR89" s="15"/>
    </row>
    <row r="90" spans="3:44">
      <c r="C90" s="199"/>
      <c r="D90" s="14" t="s">
        <v>20</v>
      </c>
      <c r="E90" s="15">
        <f>Data!B67</f>
        <v>2.1709999999999998</v>
      </c>
      <c r="F90" s="15">
        <f>Data!C67</f>
        <v>2.1800000000000002</v>
      </c>
      <c r="G90" s="15">
        <f>Data!D67</f>
        <v>2.1850000000000001</v>
      </c>
      <c r="H90" s="15">
        <f>Data!E67</f>
        <v>2.1709999999999998</v>
      </c>
      <c r="I90" s="15">
        <f>Data!F67</f>
        <v>2.1800000000000002</v>
      </c>
      <c r="J90" s="15">
        <f>Data!G67</f>
        <v>2.1850000000000001</v>
      </c>
      <c r="K90" s="15"/>
      <c r="L90" s="199"/>
      <c r="M90" s="129" t="s">
        <v>20</v>
      </c>
      <c r="N90" s="15">
        <f t="shared" si="235"/>
        <v>1.9266657990629883</v>
      </c>
      <c r="O90" s="15">
        <f t="shared" si="235"/>
        <v>1.9354502863092145</v>
      </c>
      <c r="P90" s="15">
        <f t="shared" si="235"/>
        <v>1.9403305570015621</v>
      </c>
      <c r="Q90" s="15">
        <f t="shared" si="235"/>
        <v>1.9266657990629883</v>
      </c>
      <c r="R90" s="15">
        <f t="shared" si="235"/>
        <v>1.9354502863092145</v>
      </c>
      <c r="S90" s="15">
        <f t="shared" si="235"/>
        <v>1.9403305570015621</v>
      </c>
      <c r="T90" s="20">
        <f t="shared" si="213"/>
        <v>1.9341488807912548</v>
      </c>
      <c r="U90" s="40">
        <f t="shared" si="214"/>
        <v>6.193651241171755E-3</v>
      </c>
      <c r="V90" s="109"/>
      <c r="W90" s="82">
        <v>20</v>
      </c>
      <c r="X90" s="20">
        <f>IFERROR(($N$18-N90)/W90,"")</f>
        <v>-3.9042165538781702E-3</v>
      </c>
      <c r="Y90" s="15">
        <f>IFERROR(($O$18-O90)/W90,"")</f>
        <v>-5.5147058823529329E-3</v>
      </c>
      <c r="Z90" s="15">
        <f>IFERROR(($P$18-P90)/W90,"")</f>
        <v>-4.6850598646538287E-3</v>
      </c>
      <c r="AA90" s="15">
        <f>IFERROR(($Q$18-Q90)/W90,"")</f>
        <v>-3.9042165538781702E-3</v>
      </c>
      <c r="AB90" s="15">
        <f>IFERROR(($R$18-R90)/W90,"")</f>
        <v>-5.5147058823529329E-3</v>
      </c>
      <c r="AC90" s="15">
        <f>IFERROR(($S$18-S90)/W90,"")</f>
        <v>-4.6850598646538287E-3</v>
      </c>
      <c r="AD90" s="20">
        <f t="shared" si="254"/>
        <v>-4.7013274336283111E-3</v>
      </c>
      <c r="AE90" s="40">
        <f t="shared" si="247"/>
        <v>7.2034294312252561E-4</v>
      </c>
      <c r="AG90" s="229"/>
      <c r="AH90" s="77">
        <f>'Sample ID'!$F$10</f>
        <v>1</v>
      </c>
      <c r="AI90" s="77">
        <f>IFERROR((X90*$AH$36),"")</f>
        <v>-3.9042165538781702E-3</v>
      </c>
      <c r="AJ90" s="77">
        <f t="shared" ref="AJ90" si="260">IFERROR((Y90*$AH$36),"")</f>
        <v>-5.5147058823529329E-3</v>
      </c>
      <c r="AK90" s="77">
        <f t="shared" ref="AK90" si="261">IFERROR((Z90*$AH$36),"")</f>
        <v>-4.6850598646538287E-3</v>
      </c>
      <c r="AL90" s="77">
        <f t="shared" ref="AL90" si="262">IFERROR((AA90*$AH$36),"")</f>
        <v>-3.9042165538781702E-3</v>
      </c>
      <c r="AM90" s="77">
        <f t="shared" ref="AM90" si="263">IFERROR((AB90*$AH$36),"")</f>
        <v>-5.5147058823529329E-3</v>
      </c>
      <c r="AN90" s="77">
        <f t="shared" ref="AN90" si="264">IFERROR((AC90*$AH$36),"")</f>
        <v>-4.6850598646538287E-3</v>
      </c>
      <c r="AO90" s="40">
        <f t="shared" si="246"/>
        <v>-4.7013274336283111E-3</v>
      </c>
      <c r="AP90" s="40">
        <f t="shared" si="253"/>
        <v>7.2034294312252561E-4</v>
      </c>
      <c r="AQ90" s="15"/>
      <c r="AR90" s="15"/>
    </row>
    <row r="91" spans="3:44">
      <c r="C91" s="199"/>
      <c r="D91" s="14" t="s">
        <v>21</v>
      </c>
      <c r="E91" s="15">
        <f>Data!B68</f>
        <v>1.6559999999999999</v>
      </c>
      <c r="F91" s="15">
        <f>Data!C68</f>
        <v>1.6890000000000001</v>
      </c>
      <c r="G91" s="15">
        <f>Data!D68</f>
        <v>1.631</v>
      </c>
      <c r="H91" s="15">
        <f>Data!E68</f>
        <v>1.6559999999999999</v>
      </c>
      <c r="I91" s="15">
        <f>Data!F68</f>
        <v>1.6890000000000001</v>
      </c>
      <c r="J91" s="15">
        <f>Data!G68</f>
        <v>1.631</v>
      </c>
      <c r="K91" s="15"/>
      <c r="L91" s="199"/>
      <c r="M91" s="129" t="s">
        <v>21</v>
      </c>
      <c r="N91" s="15">
        <f t="shared" si="235"/>
        <v>1.4239979177511715</v>
      </c>
      <c r="O91" s="15">
        <f t="shared" si="235"/>
        <v>1.4562077043206667</v>
      </c>
      <c r="P91" s="15">
        <f t="shared" si="235"/>
        <v>1.3995965642894328</v>
      </c>
      <c r="Q91" s="15">
        <f t="shared" si="235"/>
        <v>1.4239979177511715</v>
      </c>
      <c r="R91" s="15">
        <f t="shared" si="235"/>
        <v>1.4562077043206667</v>
      </c>
      <c r="S91" s="15">
        <f t="shared" si="235"/>
        <v>1.3995965642894328</v>
      </c>
      <c r="T91" s="20">
        <f t="shared" si="213"/>
        <v>1.4266007287870905</v>
      </c>
      <c r="U91" s="40">
        <f t="shared" si="214"/>
        <v>2.539742133171034E-2</v>
      </c>
      <c r="V91" s="109"/>
      <c r="W91" s="82">
        <v>20</v>
      </c>
      <c r="X91" s="20">
        <f>IFERROR(($N$19-N91)/W91,"")</f>
        <v>1.1761452368558056E-2</v>
      </c>
      <c r="Y91" s="15">
        <f>IFERROR(($O$19-O91)/W91,"")</f>
        <v>1.1956663196251948E-2</v>
      </c>
      <c r="Z91" s="15">
        <f>IFERROR(($P$19-P91)/W91,"")</f>
        <v>1.2883914627798032E-2</v>
      </c>
      <c r="AA91" s="15">
        <f>IFERROR(($Q$19-Q91)/W91,"")</f>
        <v>1.1761452368558056E-2</v>
      </c>
      <c r="AB91" s="15">
        <f>IFERROR(($R$19-R91)/W91,"")</f>
        <v>1.1956663196251948E-2</v>
      </c>
      <c r="AC91" s="15">
        <f>IFERROR(($S$19-S91)/W91,"")</f>
        <v>1.2883914627798032E-2</v>
      </c>
      <c r="AD91" s="20">
        <f t="shared" si="254"/>
        <v>1.2200676730869345E-2</v>
      </c>
      <c r="AE91" s="40">
        <f t="shared" si="247"/>
        <v>5.3638593170357086E-4</v>
      </c>
      <c r="AG91" s="229"/>
      <c r="AH91" s="77">
        <f>'Sample ID'!$F$11</f>
        <v>0</v>
      </c>
      <c r="AI91" s="77">
        <f>IFERROR((X91*$AH$37),"")</f>
        <v>0</v>
      </c>
      <c r="AJ91" s="77">
        <f t="shared" ref="AJ91" si="265">IFERROR((Y91*$AH$37),"")</f>
        <v>0</v>
      </c>
      <c r="AK91" s="77">
        <f t="shared" ref="AK91" si="266">IFERROR((Z91*$AH$37),"")</f>
        <v>0</v>
      </c>
      <c r="AL91" s="77">
        <f t="shared" ref="AL91" si="267">IFERROR((AA91*$AH$37),"")</f>
        <v>0</v>
      </c>
      <c r="AM91" s="77">
        <f t="shared" ref="AM91" si="268">IFERROR((AB91*$AH$37),"")</f>
        <v>0</v>
      </c>
      <c r="AN91" s="77">
        <f t="shared" ref="AN91" si="269">IFERROR((AC91*$AH$37),"")</f>
        <v>0</v>
      </c>
      <c r="AO91" s="40">
        <f t="shared" si="246"/>
        <v>0</v>
      </c>
      <c r="AP91" s="40">
        <f t="shared" si="253"/>
        <v>0</v>
      </c>
      <c r="AQ91" s="15"/>
      <c r="AR91" s="15"/>
    </row>
    <row r="92" spans="3:44">
      <c r="C92" s="199"/>
      <c r="D92" s="14" t="s">
        <v>22</v>
      </c>
      <c r="E92" s="15">
        <f>Data!B69</f>
        <v>1.778</v>
      </c>
      <c r="F92" s="15">
        <f>Data!C69</f>
        <v>1.792</v>
      </c>
      <c r="G92" s="15">
        <f>Data!D69</f>
        <v>1.796</v>
      </c>
      <c r="H92" s="15">
        <f>Data!E69</f>
        <v>1.778</v>
      </c>
      <c r="I92" s="15">
        <f>Data!F69</f>
        <v>1.792</v>
      </c>
      <c r="J92" s="15">
        <f>Data!G69</f>
        <v>1.796</v>
      </c>
      <c r="K92" s="15"/>
      <c r="L92" s="199"/>
      <c r="M92" s="129" t="s">
        <v>22</v>
      </c>
      <c r="N92" s="15">
        <f t="shared" si="235"/>
        <v>1.5430765226444563</v>
      </c>
      <c r="O92" s="15">
        <f t="shared" si="235"/>
        <v>1.5567412805830301</v>
      </c>
      <c r="P92" s="15">
        <f t="shared" si="235"/>
        <v>1.5606454971369081</v>
      </c>
      <c r="Q92" s="15">
        <f t="shared" si="235"/>
        <v>1.5430765226444563</v>
      </c>
      <c r="R92" s="15">
        <f t="shared" si="235"/>
        <v>1.5567412805830301</v>
      </c>
      <c r="S92" s="15">
        <f t="shared" si="235"/>
        <v>1.5606454971369081</v>
      </c>
      <c r="T92" s="20">
        <f t="shared" si="213"/>
        <v>1.5534877667881315</v>
      </c>
      <c r="U92" s="40">
        <f t="shared" si="214"/>
        <v>8.251362563325048E-3</v>
      </c>
      <c r="V92" s="109"/>
      <c r="W92" s="82">
        <v>20</v>
      </c>
      <c r="X92" s="20">
        <f>IFERROR(($N$20-N92)/W92,"")</f>
        <v>6.2955491931285914E-3</v>
      </c>
      <c r="Y92" s="15">
        <f>IFERROR(($O$20-O92)/W92,"")</f>
        <v>5.3682977615825082E-3</v>
      </c>
      <c r="Z92" s="15">
        <f>IFERROR(($P$20-P92)/W92,"")</f>
        <v>5.7587194169703261E-3</v>
      </c>
      <c r="AA92" s="15">
        <f>IFERROR(($Q$20-Q92)/W92,"")</f>
        <v>6.2955491931285914E-3</v>
      </c>
      <c r="AB92" s="15">
        <f>IFERROR(($R$20-R92)/W92,"")</f>
        <v>5.3682977615825082E-3</v>
      </c>
      <c r="AC92" s="15">
        <f>IFERROR(($S$20-S92)/W92,"")</f>
        <v>5.7587194169703261E-3</v>
      </c>
      <c r="AD92" s="20">
        <f t="shared" si="254"/>
        <v>5.8075221238938083E-3</v>
      </c>
      <c r="AE92" s="40">
        <f t="shared" si="247"/>
        <v>4.1639892649079647E-4</v>
      </c>
      <c r="AG92" s="229"/>
      <c r="AH92" s="77">
        <f>'Sample ID'!$F$12</f>
        <v>0</v>
      </c>
      <c r="AI92" s="77">
        <f>IFERROR((X92*$AH$38),"")</f>
        <v>0</v>
      </c>
      <c r="AJ92" s="77">
        <f t="shared" ref="AJ92" si="270">IFERROR((Y92*$AH$38),"")</f>
        <v>0</v>
      </c>
      <c r="AK92" s="77">
        <f t="shared" ref="AK92" si="271">IFERROR((Z92*$AH$38),"")</f>
        <v>0</v>
      </c>
      <c r="AL92" s="77">
        <f t="shared" ref="AL92" si="272">IFERROR((AA92*$AH$38),"")</f>
        <v>0</v>
      </c>
      <c r="AM92" s="77">
        <f t="shared" ref="AM92" si="273">IFERROR((AB92*$AH$38),"")</f>
        <v>0</v>
      </c>
      <c r="AN92" s="77">
        <f t="shared" ref="AN92" si="274">IFERROR((AC92*$AH$38),"")</f>
        <v>0</v>
      </c>
      <c r="AO92" s="40">
        <f t="shared" si="246"/>
        <v>0</v>
      </c>
      <c r="AP92" s="40">
        <f t="shared" si="253"/>
        <v>0</v>
      </c>
      <c r="AQ92" s="15"/>
      <c r="AR92" s="15"/>
    </row>
    <row r="93" spans="3:44">
      <c r="C93" s="199"/>
      <c r="D93" s="14" t="s">
        <v>23</v>
      </c>
      <c r="E93" s="15">
        <f>Data!B70</f>
        <v>0</v>
      </c>
      <c r="F93" s="15">
        <f>Data!C70</f>
        <v>0</v>
      </c>
      <c r="G93" s="15">
        <f>Data!D70</f>
        <v>0</v>
      </c>
      <c r="H93" s="15">
        <f>Data!E70</f>
        <v>0</v>
      </c>
      <c r="I93" s="15">
        <f>Data!F70</f>
        <v>0</v>
      </c>
      <c r="J93" s="15">
        <f>Data!G70</f>
        <v>0</v>
      </c>
      <c r="K93" s="15"/>
      <c r="L93" s="199"/>
      <c r="M93" s="129" t="s">
        <v>23</v>
      </c>
      <c r="N93" s="15" t="str">
        <f t="shared" si="235"/>
        <v xml:space="preserve"> </v>
      </c>
      <c r="O93" s="15" t="str">
        <f t="shared" si="235"/>
        <v xml:space="preserve"> </v>
      </c>
      <c r="P93" s="15" t="str">
        <f t="shared" si="235"/>
        <v xml:space="preserve"> </v>
      </c>
      <c r="Q93" s="15" t="str">
        <f t="shared" si="235"/>
        <v xml:space="preserve"> </v>
      </c>
      <c r="R93" s="15" t="str">
        <f t="shared" si="235"/>
        <v xml:space="preserve"> </v>
      </c>
      <c r="S93" s="15" t="str">
        <f t="shared" si="235"/>
        <v xml:space="preserve"> </v>
      </c>
      <c r="T93" s="20" t="str">
        <f t="shared" si="213"/>
        <v/>
      </c>
      <c r="U93" s="40" t="str">
        <f t="shared" si="214"/>
        <v/>
      </c>
      <c r="V93" s="109"/>
      <c r="W93" s="82">
        <v>20</v>
      </c>
      <c r="X93" s="20" t="str">
        <f>IFERROR(($N$21-N93)/W93,"")</f>
        <v/>
      </c>
      <c r="Y93" s="15" t="str">
        <f>IFERROR(($O$21-O93)/W93,"")</f>
        <v/>
      </c>
      <c r="Z93" s="15" t="str">
        <f>IFERROR(($P$21-P93)/W93,"")</f>
        <v/>
      </c>
      <c r="AA93" s="15" t="str">
        <f>IFERROR(($Q$21-Q93)/W93,"")</f>
        <v/>
      </c>
      <c r="AB93" s="15" t="str">
        <f>IFERROR(($R$21-R93)/W93,"")</f>
        <v/>
      </c>
      <c r="AC93" s="15" t="str">
        <f>IFERROR(($S$21-S93)/W93,"")</f>
        <v/>
      </c>
      <c r="AD93" s="20" t="str">
        <f t="shared" si="254"/>
        <v/>
      </c>
      <c r="AE93" s="40" t="str">
        <f t="shared" si="247"/>
        <v/>
      </c>
      <c r="AG93" s="229"/>
      <c r="AH93" s="77">
        <f>'Sample ID'!$F$13</f>
        <v>0</v>
      </c>
      <c r="AI93" s="77" t="str">
        <f>IFERROR((X93*$AH$39),"")</f>
        <v/>
      </c>
      <c r="AJ93" s="77" t="str">
        <f t="shared" ref="AJ93" si="275">IFERROR((Y93*$AH$39),"")</f>
        <v/>
      </c>
      <c r="AK93" s="77" t="str">
        <f t="shared" ref="AK93" si="276">IFERROR((Z93*$AH$39),"")</f>
        <v/>
      </c>
      <c r="AL93" s="77" t="str">
        <f t="shared" ref="AL93" si="277">IFERROR((AA93*$AH$39),"")</f>
        <v/>
      </c>
      <c r="AM93" s="77" t="str">
        <f t="shared" ref="AM93" si="278">IFERROR((AB93*$AH$39),"")</f>
        <v/>
      </c>
      <c r="AN93" s="77" t="str">
        <f t="shared" ref="AN93" si="279">IFERROR((AC93*$AH$39),"")</f>
        <v/>
      </c>
      <c r="AO93" s="40" t="str">
        <f t="shared" si="246"/>
        <v/>
      </c>
      <c r="AP93" s="40" t="str">
        <f t="shared" si="253"/>
        <v/>
      </c>
      <c r="AQ93" s="15"/>
      <c r="AR93" s="15"/>
    </row>
    <row r="94" spans="3:44">
      <c r="C94" s="199"/>
      <c r="D94" s="39"/>
      <c r="E94" s="56">
        <v>7</v>
      </c>
      <c r="F94" s="56">
        <v>8</v>
      </c>
      <c r="G94" s="57">
        <v>9</v>
      </c>
      <c r="H94" s="56">
        <v>10</v>
      </c>
      <c r="I94" s="56">
        <v>11</v>
      </c>
      <c r="J94" s="57">
        <v>12</v>
      </c>
      <c r="K94" s="19"/>
      <c r="L94" s="199"/>
      <c r="M94" s="38"/>
      <c r="N94" s="59">
        <v>7</v>
      </c>
      <c r="O94" s="38">
        <v>8</v>
      </c>
      <c r="P94" s="38">
        <v>9</v>
      </c>
      <c r="Q94" s="38">
        <v>10</v>
      </c>
      <c r="R94" s="38">
        <v>11</v>
      </c>
      <c r="S94" s="50">
        <v>12</v>
      </c>
      <c r="T94" s="38" t="s">
        <v>24</v>
      </c>
      <c r="U94" s="51" t="s">
        <v>3</v>
      </c>
      <c r="V94" s="109"/>
      <c r="W94" s="98"/>
      <c r="X94" s="38">
        <v>7</v>
      </c>
      <c r="Y94" s="38">
        <v>8</v>
      </c>
      <c r="Z94" s="38">
        <v>9</v>
      </c>
      <c r="AA94" s="38">
        <v>10</v>
      </c>
      <c r="AB94" s="38">
        <v>11</v>
      </c>
      <c r="AC94" s="50">
        <v>12</v>
      </c>
      <c r="AD94" s="50" t="s">
        <v>49</v>
      </c>
      <c r="AE94" s="51" t="s">
        <v>3</v>
      </c>
      <c r="AG94" s="229"/>
      <c r="AH94" s="119"/>
      <c r="AI94" s="119"/>
      <c r="AJ94" s="119"/>
      <c r="AK94" s="119"/>
      <c r="AL94" s="119"/>
      <c r="AM94" s="119"/>
      <c r="AN94" s="119"/>
      <c r="AO94" s="100"/>
      <c r="AP94" s="51" t="s">
        <v>3</v>
      </c>
      <c r="AQ94" s="15"/>
      <c r="AR94" s="15"/>
    </row>
    <row r="95" spans="3:44">
      <c r="C95" s="199"/>
      <c r="D95" s="14" t="s">
        <v>16</v>
      </c>
      <c r="E95" s="15">
        <f>Data!H63</f>
        <v>0</v>
      </c>
      <c r="F95" s="15">
        <f>Data!I63</f>
        <v>0</v>
      </c>
      <c r="G95" s="15">
        <f>Data!J63</f>
        <v>0</v>
      </c>
      <c r="H95" s="15">
        <f>Data!K63</f>
        <v>0</v>
      </c>
      <c r="I95" s="15">
        <f>Data!L63</f>
        <v>0</v>
      </c>
      <c r="J95" s="15">
        <f>Data!M63</f>
        <v>0</v>
      </c>
      <c r="K95" s="15"/>
      <c r="L95" s="199"/>
      <c r="M95" s="129" t="s">
        <v>16</v>
      </c>
      <c r="N95" s="15" t="str">
        <f t="shared" ref="N95:S102" si="280">IF(((E95-$P$11)/$P$10)&gt;0,((E95-$P$11)/$P$10)," ")</f>
        <v xml:space="preserve"> </v>
      </c>
      <c r="O95" s="15" t="str">
        <f t="shared" si="280"/>
        <v xml:space="preserve"> </v>
      </c>
      <c r="P95" s="15" t="str">
        <f t="shared" si="280"/>
        <v xml:space="preserve"> </v>
      </c>
      <c r="Q95" s="15" t="str">
        <f t="shared" si="280"/>
        <v xml:space="preserve"> </v>
      </c>
      <c r="R95" s="15" t="str">
        <f t="shared" si="280"/>
        <v xml:space="preserve"> </v>
      </c>
      <c r="S95" s="15" t="str">
        <f t="shared" si="280"/>
        <v xml:space="preserve"> </v>
      </c>
      <c r="T95" s="20" t="str">
        <f t="shared" si="213"/>
        <v/>
      </c>
      <c r="U95" s="40" t="str">
        <f t="shared" si="214"/>
        <v/>
      </c>
      <c r="V95" s="109"/>
      <c r="W95" s="82">
        <v>20</v>
      </c>
      <c r="X95" s="20" t="str">
        <f>IFERROR(($N$23-N95)/W95,"")</f>
        <v/>
      </c>
      <c r="Y95" s="15" t="str">
        <f>IFERROR(($O$23-O95)/W95,"")</f>
        <v/>
      </c>
      <c r="Z95" s="15" t="str">
        <f>IFERROR(($P$23-P95)/W95,"")</f>
        <v/>
      </c>
      <c r="AA95" s="15" t="str">
        <f>IFERROR(($Q$23-Q95)/W95,"")</f>
        <v/>
      </c>
      <c r="AB95" s="15" t="str">
        <f>IFERROR(($R$23-R95)/W95,"")</f>
        <v/>
      </c>
      <c r="AC95" s="15" t="str">
        <f>IFERROR(($S$23-S95)/W95,"")</f>
        <v/>
      </c>
      <c r="AD95" s="20" t="str">
        <f t="shared" ref="AD95:AD96" si="281">IFERROR(AVERAGE(X95:AC95), "")</f>
        <v/>
      </c>
      <c r="AE95" s="40" t="str">
        <f t="shared" ref="AE95:AE96" si="282">IFERROR(STDEV(X95:AC95), "")</f>
        <v/>
      </c>
      <c r="AG95" s="229"/>
      <c r="AH95" s="77">
        <f>'Sample ID'!$F$14</f>
        <v>0</v>
      </c>
      <c r="AI95" s="77" t="str">
        <f>IFERROR((X95*$AH$41),"")</f>
        <v/>
      </c>
      <c r="AJ95" s="77" t="str">
        <f t="shared" ref="AJ95" si="283">IFERROR((Y95*$AH$41),"")</f>
        <v/>
      </c>
      <c r="AK95" s="77" t="str">
        <f t="shared" ref="AK95" si="284">IFERROR((Z95*$AH$41),"")</f>
        <v/>
      </c>
      <c r="AL95" s="77" t="str">
        <f t="shared" ref="AL95" si="285">IFERROR((AA95*$AH$41),"")</f>
        <v/>
      </c>
      <c r="AM95" s="77" t="str">
        <f t="shared" ref="AM95" si="286">IFERROR((AB95*$AH$41),"")</f>
        <v/>
      </c>
      <c r="AN95" s="77" t="str">
        <f t="shared" ref="AN95" si="287">IFERROR((AC95*$AH$41),"")</f>
        <v/>
      </c>
      <c r="AO95" s="40" t="str">
        <f>IFERROR(AVERAGE(AI95:AN95),"")</f>
        <v/>
      </c>
      <c r="AP95" s="40" t="str">
        <f t="shared" ref="AP95:AP96" si="288">IFERROR(STDEV(AI95:AN95), "")</f>
        <v/>
      </c>
      <c r="AQ95" s="15"/>
      <c r="AR95" s="15"/>
    </row>
    <row r="96" spans="3:44">
      <c r="C96" s="199"/>
      <c r="D96" s="14" t="s">
        <v>17</v>
      </c>
      <c r="E96" s="15">
        <f>Data!H64</f>
        <v>0</v>
      </c>
      <c r="F96" s="15">
        <f>Data!I64</f>
        <v>0</v>
      </c>
      <c r="G96" s="15">
        <f>Data!J64</f>
        <v>0</v>
      </c>
      <c r="H96" s="15">
        <f>Data!K64</f>
        <v>0</v>
      </c>
      <c r="I96" s="15">
        <f>Data!L64</f>
        <v>0</v>
      </c>
      <c r="J96" s="15">
        <f>Data!M64</f>
        <v>0</v>
      </c>
      <c r="K96" s="15"/>
      <c r="L96" s="199"/>
      <c r="M96" s="129" t="s">
        <v>17</v>
      </c>
      <c r="N96" s="15" t="str">
        <f t="shared" si="280"/>
        <v xml:space="preserve"> </v>
      </c>
      <c r="O96" s="15" t="str">
        <f t="shared" si="280"/>
        <v xml:space="preserve"> </v>
      </c>
      <c r="P96" s="15" t="str">
        <f t="shared" si="280"/>
        <v xml:space="preserve"> </v>
      </c>
      <c r="Q96" s="15" t="str">
        <f t="shared" si="280"/>
        <v xml:space="preserve"> </v>
      </c>
      <c r="R96" s="15" t="str">
        <f t="shared" si="280"/>
        <v xml:space="preserve"> </v>
      </c>
      <c r="S96" s="15" t="str">
        <f t="shared" si="280"/>
        <v xml:space="preserve"> </v>
      </c>
      <c r="T96" s="20" t="str">
        <f t="shared" si="213"/>
        <v/>
      </c>
      <c r="U96" s="40" t="str">
        <f t="shared" si="214"/>
        <v/>
      </c>
      <c r="V96" s="109"/>
      <c r="W96" s="82">
        <v>20</v>
      </c>
      <c r="X96" s="20" t="str">
        <f>IFERROR(($N$24-N96)/W96,"")</f>
        <v/>
      </c>
      <c r="Y96" s="15" t="str">
        <f>IFERROR(($O$24-O96)/W96,"")</f>
        <v/>
      </c>
      <c r="Z96" s="15" t="str">
        <f>IFERROR(($P$24-P96)/W96,"")</f>
        <v/>
      </c>
      <c r="AA96" s="15" t="str">
        <f>IFERROR(($Q$24-Q96)/W96,"")</f>
        <v/>
      </c>
      <c r="AB96" s="15" t="str">
        <f>IFERROR(($R$24-R96)/W96,"")</f>
        <v/>
      </c>
      <c r="AC96" s="15" t="str">
        <f>IFERROR(($S$24-S96)/W96,"")</f>
        <v/>
      </c>
      <c r="AD96" s="20" t="str">
        <f t="shared" si="281"/>
        <v/>
      </c>
      <c r="AE96" s="40" t="str">
        <f t="shared" si="282"/>
        <v/>
      </c>
      <c r="AG96" s="229"/>
      <c r="AH96" s="77">
        <f>'Sample ID'!$F$15</f>
        <v>0</v>
      </c>
      <c r="AI96" s="77" t="str">
        <f>IFERROR((X96*$AH$42),"")</f>
        <v/>
      </c>
      <c r="AJ96" s="77" t="str">
        <f t="shared" ref="AJ96" si="289">IFERROR((Y96*$AH$42),"")</f>
        <v/>
      </c>
      <c r="AK96" s="77" t="str">
        <f t="shared" ref="AK96" si="290">IFERROR((Z96*$AH$42),"")</f>
        <v/>
      </c>
      <c r="AL96" s="77" t="str">
        <f t="shared" ref="AL96" si="291">IFERROR((AA96*$AH$42),"")</f>
        <v/>
      </c>
      <c r="AM96" s="77" t="str">
        <f t="shared" ref="AM96" si="292">IFERROR((AB96*$AH$42),"")</f>
        <v/>
      </c>
      <c r="AN96" s="77" t="str">
        <f t="shared" ref="AN96" si="293">IFERROR((AC96*$AH$42),"")</f>
        <v/>
      </c>
      <c r="AO96" s="40" t="str">
        <f t="shared" ref="AO96:AO102" si="294">IFERROR(AVERAGE(AI96:AN96),"")</f>
        <v/>
      </c>
      <c r="AP96" s="40" t="str">
        <f t="shared" si="288"/>
        <v/>
      </c>
      <c r="AQ96" s="15"/>
      <c r="AR96" s="15"/>
    </row>
    <row r="97" spans="3:44">
      <c r="C97" s="199"/>
      <c r="D97" s="14" t="s">
        <v>18</v>
      </c>
      <c r="E97" s="15">
        <f>Data!H65</f>
        <v>0</v>
      </c>
      <c r="F97" s="15">
        <f>Data!I65</f>
        <v>0</v>
      </c>
      <c r="G97" s="15">
        <f>Data!J65</f>
        <v>0</v>
      </c>
      <c r="H97" s="15">
        <f>Data!K65</f>
        <v>0</v>
      </c>
      <c r="I97" s="15">
        <f>Data!L65</f>
        <v>0</v>
      </c>
      <c r="J97" s="15">
        <f>Data!M65</f>
        <v>0</v>
      </c>
      <c r="K97" s="15"/>
      <c r="L97" s="199"/>
      <c r="M97" s="129" t="s">
        <v>18</v>
      </c>
      <c r="N97" s="15" t="str">
        <f t="shared" si="280"/>
        <v xml:space="preserve"> </v>
      </c>
      <c r="O97" s="15" t="str">
        <f t="shared" si="280"/>
        <v xml:space="preserve"> </v>
      </c>
      <c r="P97" s="15" t="str">
        <f t="shared" si="280"/>
        <v xml:space="preserve"> </v>
      </c>
      <c r="Q97" s="15" t="str">
        <f t="shared" si="280"/>
        <v xml:space="preserve"> </v>
      </c>
      <c r="R97" s="15" t="str">
        <f t="shared" si="280"/>
        <v xml:space="preserve"> </v>
      </c>
      <c r="S97" s="15" t="str">
        <f t="shared" si="280"/>
        <v xml:space="preserve"> </v>
      </c>
      <c r="T97" s="20" t="str">
        <f t="shared" si="213"/>
        <v/>
      </c>
      <c r="U97" s="40" t="str">
        <f t="shared" si="214"/>
        <v/>
      </c>
      <c r="V97" s="109"/>
      <c r="W97" s="82">
        <v>20</v>
      </c>
      <c r="X97" s="20" t="str">
        <f>IFERROR(($N$25-N97)/W97,"")</f>
        <v/>
      </c>
      <c r="Y97" s="15" t="str">
        <f>IFERROR(($O$25-O97)/W97,"")</f>
        <v/>
      </c>
      <c r="Z97" s="15" t="str">
        <f>IFERROR(($P$25-P97)/W97,"")</f>
        <v/>
      </c>
      <c r="AA97" s="15" t="str">
        <f>IFERROR(($Q$25-Q97)/W97,"")</f>
        <v/>
      </c>
      <c r="AB97" s="15" t="str">
        <f>IFERROR(($R$25-R97)/W97,"")</f>
        <v/>
      </c>
      <c r="AC97" s="15" t="str">
        <f>IFERROR(($S$25-S97)/W97,"")</f>
        <v/>
      </c>
      <c r="AD97" s="20" t="str">
        <f>IFERROR(AVERAGE(X97:AC97), "")</f>
        <v/>
      </c>
      <c r="AE97" s="40" t="str">
        <f>IFERROR(STDEV(X97:AC97), "")</f>
        <v/>
      </c>
      <c r="AG97" s="229"/>
      <c r="AH97" s="77">
        <f>'Sample ID'!$F$16</f>
        <v>0</v>
      </c>
      <c r="AI97" s="77" t="str">
        <f>IFERROR((X97*$AH$43),"")</f>
        <v/>
      </c>
      <c r="AJ97" s="77" t="str">
        <f t="shared" ref="AJ97" si="295">IFERROR((Y97*$AH$43),"")</f>
        <v/>
      </c>
      <c r="AK97" s="77" t="str">
        <f t="shared" ref="AK97" si="296">IFERROR((Z97*$AH$43),"")</f>
        <v/>
      </c>
      <c r="AL97" s="77" t="str">
        <f t="shared" ref="AL97" si="297">IFERROR((AA97*$AH$43),"")</f>
        <v/>
      </c>
      <c r="AM97" s="77" t="str">
        <f t="shared" ref="AM97" si="298">IFERROR((AB97*$AH$43),"")</f>
        <v/>
      </c>
      <c r="AN97" s="77" t="str">
        <f t="shared" ref="AN97" si="299">IFERROR((AC97*$AH$43),"")</f>
        <v/>
      </c>
      <c r="AO97" s="40" t="str">
        <f t="shared" si="294"/>
        <v/>
      </c>
      <c r="AP97" s="40" t="str">
        <f>IFERROR(STDEV(AI97:AN97), "")</f>
        <v/>
      </c>
      <c r="AQ97" s="15"/>
      <c r="AR97" s="15"/>
    </row>
    <row r="98" spans="3:44">
      <c r="C98" s="199"/>
      <c r="D98" s="14" t="s">
        <v>19</v>
      </c>
      <c r="E98" s="15">
        <f>Data!H66</f>
        <v>0</v>
      </c>
      <c r="F98" s="15">
        <f>Data!I66</f>
        <v>0</v>
      </c>
      <c r="G98" s="15">
        <f>Data!J66</f>
        <v>0</v>
      </c>
      <c r="H98" s="15">
        <f>Data!K66</f>
        <v>0</v>
      </c>
      <c r="I98" s="15">
        <f>Data!L66</f>
        <v>0</v>
      </c>
      <c r="J98" s="15">
        <f>Data!M66</f>
        <v>0</v>
      </c>
      <c r="K98" s="15"/>
      <c r="L98" s="199"/>
      <c r="M98" s="129" t="s">
        <v>19</v>
      </c>
      <c r="N98" s="15" t="str">
        <f t="shared" si="280"/>
        <v xml:space="preserve"> </v>
      </c>
      <c r="O98" s="15" t="str">
        <f t="shared" si="280"/>
        <v xml:space="preserve"> </v>
      </c>
      <c r="P98" s="15" t="str">
        <f t="shared" si="280"/>
        <v xml:space="preserve"> </v>
      </c>
      <c r="Q98" s="15" t="str">
        <f t="shared" si="280"/>
        <v xml:space="preserve"> </v>
      </c>
      <c r="R98" s="15" t="str">
        <f t="shared" si="280"/>
        <v xml:space="preserve"> </v>
      </c>
      <c r="S98" s="15" t="str">
        <f t="shared" si="280"/>
        <v xml:space="preserve"> </v>
      </c>
      <c r="T98" s="20" t="str">
        <f t="shared" si="213"/>
        <v/>
      </c>
      <c r="U98" s="40" t="str">
        <f t="shared" si="214"/>
        <v/>
      </c>
      <c r="V98" s="109"/>
      <c r="W98" s="82">
        <v>20</v>
      </c>
      <c r="X98" s="20" t="str">
        <f>IFERROR(($N$26-N98)/W98,"")</f>
        <v/>
      </c>
      <c r="Y98" s="15" t="str">
        <f>IFERROR(($O$26-O98)/W98,"")</f>
        <v/>
      </c>
      <c r="Z98" s="15" t="str">
        <f>IFERROR(($P$26-P98)/W98,"")</f>
        <v/>
      </c>
      <c r="AA98" s="15" t="str">
        <f>IFERROR(($Q$17-Q98)/W98,"")</f>
        <v/>
      </c>
      <c r="AB98" s="15" t="str">
        <f>IFERROR(($R$26-R98)/W98,"")</f>
        <v/>
      </c>
      <c r="AC98" s="15" t="str">
        <f>IFERROR(($S$26-S98)/W98,"")</f>
        <v/>
      </c>
      <c r="AD98" s="20" t="str">
        <f t="shared" ref="AD98:AD101" si="300">IFERROR(AVERAGE(X98:AC98), "")</f>
        <v/>
      </c>
      <c r="AE98" s="40" t="str">
        <f t="shared" ref="AE98:AE102" si="301">IFERROR(STDEV(X98:AC98), "")</f>
        <v/>
      </c>
      <c r="AG98" s="229"/>
      <c r="AH98" s="77">
        <f>'Sample ID'!$F$17</f>
        <v>0</v>
      </c>
      <c r="AI98" s="77" t="str">
        <f>IFERROR((X98*$AH$44),"")</f>
        <v/>
      </c>
      <c r="AJ98" s="77" t="str">
        <f t="shared" ref="AJ98" si="302">IFERROR((Y98*$AH$44),"")</f>
        <v/>
      </c>
      <c r="AK98" s="77" t="str">
        <f t="shared" ref="AK98" si="303">IFERROR((Z98*$AH$44),"")</f>
        <v/>
      </c>
      <c r="AL98" s="77" t="str">
        <f t="shared" ref="AL98" si="304">IFERROR((AA98*$AH$44),"")</f>
        <v/>
      </c>
      <c r="AM98" s="77" t="str">
        <f t="shared" ref="AM98" si="305">IFERROR((AB98*$AH$44),"")</f>
        <v/>
      </c>
      <c r="AN98" s="77" t="str">
        <f t="shared" ref="AN98" si="306">IFERROR((AC98*$AH$44),"")</f>
        <v/>
      </c>
      <c r="AO98" s="40" t="str">
        <f t="shared" si="294"/>
        <v/>
      </c>
      <c r="AP98" s="40" t="str">
        <f t="shared" ref="AP98:AP102" si="307">IFERROR(STDEV(AI98:AN98), "")</f>
        <v/>
      </c>
      <c r="AQ98" s="15"/>
      <c r="AR98" s="15"/>
    </row>
    <row r="99" spans="3:44">
      <c r="C99" s="199"/>
      <c r="D99" s="14" t="s">
        <v>20</v>
      </c>
      <c r="E99" s="15">
        <f>Data!H67</f>
        <v>0</v>
      </c>
      <c r="F99" s="15">
        <f>Data!I67</f>
        <v>0</v>
      </c>
      <c r="G99" s="15">
        <f>Data!J67</f>
        <v>0</v>
      </c>
      <c r="H99" s="15">
        <f>Data!K67</f>
        <v>0</v>
      </c>
      <c r="I99" s="15">
        <f>Data!L67</f>
        <v>0</v>
      </c>
      <c r="J99" s="15">
        <f>Data!M67</f>
        <v>0</v>
      </c>
      <c r="K99" s="15"/>
      <c r="L99" s="199"/>
      <c r="M99" s="129" t="s">
        <v>20</v>
      </c>
      <c r="N99" s="15" t="str">
        <f t="shared" si="280"/>
        <v xml:space="preserve"> </v>
      </c>
      <c r="O99" s="15" t="str">
        <f t="shared" si="280"/>
        <v xml:space="preserve"> </v>
      </c>
      <c r="P99" s="15" t="str">
        <f t="shared" si="280"/>
        <v xml:space="preserve"> </v>
      </c>
      <c r="Q99" s="15" t="str">
        <f t="shared" si="280"/>
        <v xml:space="preserve"> </v>
      </c>
      <c r="R99" s="15" t="str">
        <f t="shared" si="280"/>
        <v xml:space="preserve"> </v>
      </c>
      <c r="S99" s="15" t="str">
        <f t="shared" si="280"/>
        <v xml:space="preserve"> </v>
      </c>
      <c r="T99" s="20" t="str">
        <f t="shared" si="213"/>
        <v/>
      </c>
      <c r="U99" s="40" t="str">
        <f t="shared" si="214"/>
        <v/>
      </c>
      <c r="V99" s="109"/>
      <c r="W99" s="82">
        <v>20</v>
      </c>
      <c r="X99" s="20" t="str">
        <f>IFERROR(($N$27-N99)/W99,"")</f>
        <v/>
      </c>
      <c r="Y99" s="15" t="str">
        <f>IFERROR(($O$27-O99)/W99,"")</f>
        <v/>
      </c>
      <c r="Z99" s="15" t="str">
        <f>IFERROR(($P$27-P99)/W99,"")</f>
        <v/>
      </c>
      <c r="AA99" s="15" t="str">
        <f>IFERROR(($Q$18-Q99)/W99,"")</f>
        <v/>
      </c>
      <c r="AB99" s="15" t="str">
        <f>IFERROR(($R$27-R99)/W99,"")</f>
        <v/>
      </c>
      <c r="AC99" s="15" t="str">
        <f>IFERROR(($S$27-S99)/W99,"")</f>
        <v/>
      </c>
      <c r="AD99" s="20" t="str">
        <f t="shared" si="300"/>
        <v/>
      </c>
      <c r="AE99" s="40" t="str">
        <f t="shared" si="301"/>
        <v/>
      </c>
      <c r="AG99" s="229"/>
      <c r="AH99" s="77">
        <f>'Sample ID'!$F$18</f>
        <v>0</v>
      </c>
      <c r="AI99" s="77" t="str">
        <f>IFERROR((X99*$AH$45),"")</f>
        <v/>
      </c>
      <c r="AJ99" s="77" t="str">
        <f t="shared" ref="AJ99" si="308">IFERROR((Y99*$AH$45),"")</f>
        <v/>
      </c>
      <c r="AK99" s="77" t="str">
        <f t="shared" ref="AK99" si="309">IFERROR((Z99*$AH$45),"")</f>
        <v/>
      </c>
      <c r="AL99" s="77" t="str">
        <f t="shared" ref="AL99" si="310">IFERROR((AA99*$AH$45),"")</f>
        <v/>
      </c>
      <c r="AM99" s="77" t="str">
        <f t="shared" ref="AM99" si="311">IFERROR((AB99*$AH$45),"")</f>
        <v/>
      </c>
      <c r="AN99" s="77" t="str">
        <f t="shared" ref="AN99" si="312">IFERROR((AC99*$AH$45),"")</f>
        <v/>
      </c>
      <c r="AO99" s="40" t="str">
        <f t="shared" si="294"/>
        <v/>
      </c>
      <c r="AP99" s="40" t="str">
        <f t="shared" si="307"/>
        <v/>
      </c>
      <c r="AQ99" s="15"/>
      <c r="AR99" s="15"/>
    </row>
    <row r="100" spans="3:44">
      <c r="C100" s="199"/>
      <c r="D100" s="14" t="s">
        <v>21</v>
      </c>
      <c r="E100" s="15">
        <f>Data!H68</f>
        <v>0</v>
      </c>
      <c r="F100" s="15">
        <f>Data!I68</f>
        <v>0</v>
      </c>
      <c r="G100" s="15">
        <f>Data!J68</f>
        <v>0</v>
      </c>
      <c r="H100" s="15">
        <f>Data!K68</f>
        <v>0</v>
      </c>
      <c r="I100" s="15">
        <f>Data!L68</f>
        <v>0</v>
      </c>
      <c r="J100" s="15">
        <f>Data!M68</f>
        <v>0</v>
      </c>
      <c r="K100" s="15"/>
      <c r="L100" s="199"/>
      <c r="M100" s="129" t="s">
        <v>21</v>
      </c>
      <c r="N100" s="15" t="str">
        <f t="shared" si="280"/>
        <v xml:space="preserve"> </v>
      </c>
      <c r="O100" s="15" t="str">
        <f t="shared" si="280"/>
        <v xml:space="preserve"> </v>
      </c>
      <c r="P100" s="15" t="str">
        <f t="shared" si="280"/>
        <v xml:space="preserve"> </v>
      </c>
      <c r="Q100" s="15" t="str">
        <f t="shared" si="280"/>
        <v xml:space="preserve"> </v>
      </c>
      <c r="R100" s="15" t="str">
        <f t="shared" si="280"/>
        <v xml:space="preserve"> </v>
      </c>
      <c r="S100" s="15" t="str">
        <f t="shared" si="280"/>
        <v xml:space="preserve"> </v>
      </c>
      <c r="T100" s="20" t="str">
        <f t="shared" si="213"/>
        <v/>
      </c>
      <c r="U100" s="40" t="str">
        <f t="shared" si="214"/>
        <v/>
      </c>
      <c r="V100" s="109"/>
      <c r="W100" s="82">
        <v>20</v>
      </c>
      <c r="X100" s="20" t="str">
        <f>IFERROR(($N$28-N100)/W100,"")</f>
        <v/>
      </c>
      <c r="Y100" s="15" t="str">
        <f>IFERROR(($O$28-O100)/W100,"")</f>
        <v/>
      </c>
      <c r="Z100" s="15" t="str">
        <f>IFERROR(($P$28-P100)/W100,"")</f>
        <v/>
      </c>
      <c r="AA100" s="15" t="str">
        <f>IFERROR(($Q$19-Q100)/W100,"")</f>
        <v/>
      </c>
      <c r="AB100" s="15" t="str">
        <f>IFERROR(($R$28-R100)/W100,"")</f>
        <v/>
      </c>
      <c r="AC100" s="15" t="str">
        <f>IFERROR(($S$28-S100)/W100,"")</f>
        <v/>
      </c>
      <c r="AD100" s="20" t="str">
        <f t="shared" si="300"/>
        <v/>
      </c>
      <c r="AE100" s="40" t="str">
        <f t="shared" si="301"/>
        <v/>
      </c>
      <c r="AG100" s="229"/>
      <c r="AH100" s="77">
        <f>'Sample ID'!$F$19</f>
        <v>0</v>
      </c>
      <c r="AI100" s="77" t="str">
        <f>IFERROR((X100*$AH$46),"")</f>
        <v/>
      </c>
      <c r="AJ100" s="77" t="str">
        <f t="shared" ref="AJ100" si="313">IFERROR((Y100*$AH$46),"")</f>
        <v/>
      </c>
      <c r="AK100" s="77" t="str">
        <f t="shared" ref="AK100" si="314">IFERROR((Z100*$AH$46),"")</f>
        <v/>
      </c>
      <c r="AL100" s="77" t="str">
        <f t="shared" ref="AL100" si="315">IFERROR((AA100*$AH$46),"")</f>
        <v/>
      </c>
      <c r="AM100" s="77" t="str">
        <f t="shared" ref="AM100" si="316">IFERROR((AB100*$AH$46),"")</f>
        <v/>
      </c>
      <c r="AN100" s="77" t="str">
        <f t="shared" ref="AN100" si="317">IFERROR((AC100*$AH$46),"")</f>
        <v/>
      </c>
      <c r="AO100" s="40" t="str">
        <f t="shared" si="294"/>
        <v/>
      </c>
      <c r="AP100" s="40" t="str">
        <f t="shared" si="307"/>
        <v/>
      </c>
      <c r="AQ100" s="15"/>
      <c r="AR100" s="15"/>
    </row>
    <row r="101" spans="3:44">
      <c r="C101" s="199"/>
      <c r="D101" s="14" t="s">
        <v>22</v>
      </c>
      <c r="E101" s="15">
        <f>Data!H69</f>
        <v>0</v>
      </c>
      <c r="F101" s="15">
        <f>Data!I69</f>
        <v>0</v>
      </c>
      <c r="G101" s="15">
        <f>Data!J69</f>
        <v>0</v>
      </c>
      <c r="H101" s="15">
        <f>Data!K69</f>
        <v>0</v>
      </c>
      <c r="I101" s="15">
        <f>Data!L69</f>
        <v>0</v>
      </c>
      <c r="J101" s="15">
        <f>Data!M69</f>
        <v>0</v>
      </c>
      <c r="K101" s="15"/>
      <c r="L101" s="199"/>
      <c r="M101" s="129" t="s">
        <v>22</v>
      </c>
      <c r="N101" s="15" t="str">
        <f t="shared" si="280"/>
        <v xml:space="preserve"> </v>
      </c>
      <c r="O101" s="15" t="str">
        <f t="shared" si="280"/>
        <v xml:space="preserve"> </v>
      </c>
      <c r="P101" s="15" t="str">
        <f t="shared" si="280"/>
        <v xml:space="preserve"> </v>
      </c>
      <c r="Q101" s="15" t="str">
        <f t="shared" si="280"/>
        <v xml:space="preserve"> </v>
      </c>
      <c r="R101" s="15" t="str">
        <f t="shared" si="280"/>
        <v xml:space="preserve"> </v>
      </c>
      <c r="S101" s="15" t="str">
        <f t="shared" si="280"/>
        <v xml:space="preserve"> </v>
      </c>
      <c r="T101" s="20" t="str">
        <f t="shared" si="213"/>
        <v/>
      </c>
      <c r="U101" s="40" t="str">
        <f t="shared" si="214"/>
        <v/>
      </c>
      <c r="V101" s="109"/>
      <c r="W101" s="82">
        <v>20</v>
      </c>
      <c r="X101" s="20" t="str">
        <f>IFERROR(($N$29-N101)/W101,"")</f>
        <v/>
      </c>
      <c r="Y101" s="15" t="str">
        <f>IFERROR(($O$29-O101)/W101,"")</f>
        <v/>
      </c>
      <c r="Z101" s="15" t="str">
        <f>IFERROR(($P$29-P101)/W101,"")</f>
        <v/>
      </c>
      <c r="AA101" s="15" t="str">
        <f>IFERROR(($Q$20-Q101)/W101,"")</f>
        <v/>
      </c>
      <c r="AB101" s="15" t="str">
        <f>IFERROR(($R$29-R101)/W101,"")</f>
        <v/>
      </c>
      <c r="AC101" s="15" t="str">
        <f>IFERROR(($S$29-S101)/W101,"")</f>
        <v/>
      </c>
      <c r="AD101" s="20" t="str">
        <f t="shared" si="300"/>
        <v/>
      </c>
      <c r="AE101" s="40" t="str">
        <f t="shared" si="301"/>
        <v/>
      </c>
      <c r="AG101" s="229"/>
      <c r="AH101" s="77">
        <f>'Sample ID'!$F$20</f>
        <v>0</v>
      </c>
      <c r="AI101" s="77" t="str">
        <f>IFERROR((X101*$AH$47),"")</f>
        <v/>
      </c>
      <c r="AJ101" s="77" t="str">
        <f t="shared" ref="AJ101" si="318">IFERROR((Y101*$AH$47),"")</f>
        <v/>
      </c>
      <c r="AK101" s="77" t="str">
        <f t="shared" ref="AK101" si="319">IFERROR((Z101*$AH$47),"")</f>
        <v/>
      </c>
      <c r="AL101" s="77" t="str">
        <f t="shared" ref="AL101" si="320">IFERROR((AA101*$AH$47),"")</f>
        <v/>
      </c>
      <c r="AM101" s="77" t="str">
        <f t="shared" ref="AM101" si="321">IFERROR((AB101*$AH$47),"")</f>
        <v/>
      </c>
      <c r="AN101" s="77" t="str">
        <f t="shared" ref="AN101" si="322">IFERROR((AC101*$AH$47),"")</f>
        <v/>
      </c>
      <c r="AO101" s="40" t="str">
        <f t="shared" si="294"/>
        <v/>
      </c>
      <c r="AP101" s="40" t="str">
        <f t="shared" si="307"/>
        <v/>
      </c>
      <c r="AQ101" s="15"/>
      <c r="AR101" s="15"/>
    </row>
    <row r="102" spans="3:44">
      <c r="C102" s="199"/>
      <c r="D102" s="14" t="s">
        <v>23</v>
      </c>
      <c r="E102" s="15">
        <f>Data!H70</f>
        <v>0</v>
      </c>
      <c r="F102" s="15">
        <f>Data!I70</f>
        <v>0</v>
      </c>
      <c r="G102" s="15">
        <f>Data!J70</f>
        <v>0</v>
      </c>
      <c r="H102" s="15">
        <f>Data!K70</f>
        <v>0</v>
      </c>
      <c r="I102" s="15">
        <f>Data!L70</f>
        <v>0</v>
      </c>
      <c r="J102" s="15">
        <f>Data!M70</f>
        <v>0</v>
      </c>
      <c r="K102" s="15"/>
      <c r="L102" s="199"/>
      <c r="M102" s="129" t="s">
        <v>23</v>
      </c>
      <c r="N102" s="15" t="str">
        <f t="shared" si="280"/>
        <v xml:space="preserve"> </v>
      </c>
      <c r="O102" s="15" t="str">
        <f t="shared" si="280"/>
        <v xml:space="preserve"> </v>
      </c>
      <c r="P102" s="15" t="str">
        <f t="shared" si="280"/>
        <v xml:space="preserve"> </v>
      </c>
      <c r="Q102" s="15" t="str">
        <f t="shared" si="280"/>
        <v xml:space="preserve"> </v>
      </c>
      <c r="R102" s="15" t="str">
        <f t="shared" si="280"/>
        <v xml:space="preserve"> </v>
      </c>
      <c r="S102" s="15" t="str">
        <f t="shared" si="280"/>
        <v xml:space="preserve"> </v>
      </c>
      <c r="T102" s="20" t="str">
        <f t="shared" si="213"/>
        <v/>
      </c>
      <c r="U102" s="40" t="str">
        <f t="shared" si="214"/>
        <v/>
      </c>
      <c r="V102" s="109"/>
      <c r="W102" s="82">
        <v>20</v>
      </c>
      <c r="X102" s="20" t="str">
        <f>IFERROR(($N$30-N102)/W102,"")</f>
        <v/>
      </c>
      <c r="Y102" s="15" t="str">
        <f>IFERROR(($O$30-O102)/W102,"")</f>
        <v/>
      </c>
      <c r="Z102" s="15" t="str">
        <f>IFERROR(($P$30-P102)/W102,"")</f>
        <v/>
      </c>
      <c r="AA102" s="15" t="str">
        <f>IFERROR(($Q$21-Q102)/W102,"")</f>
        <v/>
      </c>
      <c r="AB102" s="17" t="str">
        <f>IFERROR(($R$30-R102)/W102,"")</f>
        <v/>
      </c>
      <c r="AC102" s="15" t="str">
        <f>IFERROR(($S$30-S102)/W102,"")</f>
        <v/>
      </c>
      <c r="AD102" s="20" t="str">
        <f>IFERROR(AVERAGE(X102:AC102), "")</f>
        <v/>
      </c>
      <c r="AE102" s="40" t="str">
        <f t="shared" si="301"/>
        <v/>
      </c>
      <c r="AG102" s="230"/>
      <c r="AH102" s="77">
        <f>'Sample ID'!$F$21</f>
        <v>0</v>
      </c>
      <c r="AI102" s="77" t="str">
        <f>IFERROR((X102*$AH$48),"")</f>
        <v/>
      </c>
      <c r="AJ102" s="77" t="str">
        <f t="shared" ref="AJ102" si="323">IFERROR((Y102*$AH$48),"")</f>
        <v/>
      </c>
      <c r="AK102" s="77" t="str">
        <f t="shared" ref="AK102" si="324">IFERROR((Z102*$AH$48),"")</f>
        <v/>
      </c>
      <c r="AL102" s="77" t="str">
        <f t="shared" ref="AL102" si="325">IFERROR((AA102*$AH$48),"")</f>
        <v/>
      </c>
      <c r="AM102" s="77" t="str">
        <f t="shared" ref="AM102" si="326">IFERROR((AB102*$AH$48),"")</f>
        <v/>
      </c>
      <c r="AN102" s="77" t="str">
        <f t="shared" ref="AN102" si="327">IFERROR((AC102*$AH$48),"")</f>
        <v/>
      </c>
      <c r="AO102" s="40" t="str">
        <f t="shared" si="294"/>
        <v/>
      </c>
      <c r="AP102" s="40" t="str">
        <f t="shared" si="307"/>
        <v/>
      </c>
      <c r="AQ102" s="15"/>
      <c r="AR102" s="15"/>
    </row>
    <row r="103" spans="3:44">
      <c r="C103" s="199">
        <v>25</v>
      </c>
      <c r="D103" s="50"/>
      <c r="E103" s="58">
        <v>1</v>
      </c>
      <c r="F103" s="58">
        <v>2</v>
      </c>
      <c r="G103" s="59">
        <v>3</v>
      </c>
      <c r="H103" s="56">
        <v>4</v>
      </c>
      <c r="I103" s="56">
        <v>5</v>
      </c>
      <c r="J103" s="57">
        <v>6</v>
      </c>
      <c r="K103" s="19"/>
      <c r="L103" s="199">
        <v>25</v>
      </c>
      <c r="M103" s="38"/>
      <c r="N103" s="59">
        <v>1</v>
      </c>
      <c r="O103" s="38">
        <v>2</v>
      </c>
      <c r="P103" s="38">
        <v>3</v>
      </c>
      <c r="Q103" s="38">
        <v>4</v>
      </c>
      <c r="R103" s="38">
        <v>5</v>
      </c>
      <c r="S103" s="50">
        <v>6</v>
      </c>
      <c r="T103" s="38" t="s">
        <v>24</v>
      </c>
      <c r="U103" s="51" t="s">
        <v>3</v>
      </c>
      <c r="V103" s="109"/>
      <c r="W103" s="38" t="s">
        <v>34</v>
      </c>
      <c r="X103" s="38">
        <v>1</v>
      </c>
      <c r="Y103" s="38">
        <v>2</v>
      </c>
      <c r="Z103" s="38">
        <v>3</v>
      </c>
      <c r="AA103" s="38">
        <v>4</v>
      </c>
      <c r="AB103" s="38">
        <v>5</v>
      </c>
      <c r="AC103" s="50">
        <v>6</v>
      </c>
      <c r="AD103" s="50" t="s">
        <v>49</v>
      </c>
      <c r="AE103" s="51" t="s">
        <v>3</v>
      </c>
      <c r="AF103" s="69"/>
      <c r="AG103" s="231">
        <v>25</v>
      </c>
      <c r="AH103" s="38" t="s">
        <v>35</v>
      </c>
      <c r="AI103" s="38"/>
      <c r="AJ103" s="38"/>
      <c r="AK103" s="38"/>
      <c r="AL103" s="38"/>
      <c r="AM103" s="38"/>
      <c r="AN103" s="38"/>
      <c r="AO103" s="52" t="s">
        <v>36</v>
      </c>
      <c r="AP103" s="51" t="s">
        <v>3</v>
      </c>
      <c r="AQ103" s="15"/>
      <c r="AR103" s="15"/>
    </row>
    <row r="104" spans="3:44">
      <c r="C104" s="199"/>
      <c r="D104" s="14" t="s">
        <v>16</v>
      </c>
      <c r="E104" s="15">
        <f>Data!B75</f>
        <v>1.944</v>
      </c>
      <c r="F104" s="15">
        <f>Data!C75</f>
        <v>1.9239999999999999</v>
      </c>
      <c r="G104" s="15">
        <f>Data!D75</f>
        <v>1.9530000000000001</v>
      </c>
      <c r="H104" s="15">
        <f>Data!E75</f>
        <v>1.944</v>
      </c>
      <c r="I104" s="15">
        <f>Data!F75</f>
        <v>1.9239999999999999</v>
      </c>
      <c r="J104" s="15">
        <f>Data!G75</f>
        <v>1.9530000000000001</v>
      </c>
      <c r="K104" s="15"/>
      <c r="L104" s="199"/>
      <c r="M104" s="129" t="s">
        <v>16</v>
      </c>
      <c r="N104" s="15">
        <f t="shared" ref="N104:S111" si="328">IF(((E104-$P$11)/$P$10)&gt;0,((E104-$P$11)/$P$10)," ")</f>
        <v>1.7051015096304012</v>
      </c>
      <c r="O104" s="15">
        <f t="shared" si="328"/>
        <v>1.6855804268610102</v>
      </c>
      <c r="P104" s="15">
        <f t="shared" si="328"/>
        <v>1.7138859968766271</v>
      </c>
      <c r="Q104" s="15">
        <f t="shared" si="328"/>
        <v>1.7051015096304012</v>
      </c>
      <c r="R104" s="15">
        <f t="shared" si="328"/>
        <v>1.6855804268610102</v>
      </c>
      <c r="S104" s="15">
        <f t="shared" si="328"/>
        <v>1.7138859968766271</v>
      </c>
      <c r="T104" s="20">
        <f t="shared" si="213"/>
        <v>1.7015226444560128</v>
      </c>
      <c r="U104" s="40">
        <f t="shared" si="214"/>
        <v>1.2958627409709279E-2</v>
      </c>
      <c r="V104" s="109"/>
      <c r="W104" s="82">
        <v>25</v>
      </c>
      <c r="X104" s="20">
        <f>IFERROR(($N$14-N104)/W104,"")</f>
        <v>1.0541384695471124E-3</v>
      </c>
      <c r="Y104" s="15">
        <f>IFERROR(($O$14-O104)/W104,"")</f>
        <v>1.7959396147839701E-3</v>
      </c>
      <c r="Z104" s="15">
        <f>IFERROR(($P$14-P104)/W104,"")</f>
        <v>1.7959396147839701E-3</v>
      </c>
      <c r="AA104" s="15">
        <f>IFERROR(($Q$14-Q104)/W104,"")</f>
        <v>1.0541384695471124E-3</v>
      </c>
      <c r="AB104" s="15">
        <f>IFERROR(($R$14-R104)/W104,"")</f>
        <v>1.7959396147839701E-3</v>
      </c>
      <c r="AC104" s="15">
        <f>IFERROR(($S$14-S104)/W104,"")</f>
        <v>1.7959396147839701E-3</v>
      </c>
      <c r="AD104" s="20">
        <f>IFERROR(AVERAGE(X104:AC104), "")</f>
        <v>1.5486725663716842E-3</v>
      </c>
      <c r="AE104" s="40">
        <f>IFERROR(STDEV(X104:AC104), "")</f>
        <v>3.8306446422665854E-4</v>
      </c>
      <c r="AG104" s="229"/>
      <c r="AH104" s="76">
        <f>'Sample ID'!$F$6</f>
        <v>1</v>
      </c>
      <c r="AI104" s="77">
        <f>IFERROR((X104*$AH$32),"")</f>
        <v>1.0541384695471124E-3</v>
      </c>
      <c r="AJ104" s="77">
        <f t="shared" ref="AJ104" si="329">IFERROR((Y104*$AH$32),"")</f>
        <v>1.7959396147839701E-3</v>
      </c>
      <c r="AK104" s="77">
        <f t="shared" ref="AK104" si="330">IFERROR((Z104*$AH$32),"")</f>
        <v>1.7959396147839701E-3</v>
      </c>
      <c r="AL104" s="77">
        <f t="shared" ref="AL104" si="331">IFERROR((AA104*$AH$32),"")</f>
        <v>1.0541384695471124E-3</v>
      </c>
      <c r="AM104" s="77">
        <f t="shared" ref="AM104" si="332">IFERROR((AB104*$AH$32),"")</f>
        <v>1.7959396147839701E-3</v>
      </c>
      <c r="AN104" s="77">
        <f t="shared" ref="AN104" si="333">IFERROR((AC104*$AH$32),"")</f>
        <v>1.7959396147839701E-3</v>
      </c>
      <c r="AO104" s="40">
        <f>IFERROR(AVERAGE(AI104:AN104),"")</f>
        <v>1.5486725663716842E-3</v>
      </c>
      <c r="AP104" s="40">
        <f>IFERROR(STDEV(AI104:AN104), "")</f>
        <v>3.8306446422665854E-4</v>
      </c>
      <c r="AQ104" s="15"/>
      <c r="AR104" s="15"/>
    </row>
    <row r="105" spans="3:44">
      <c r="C105" s="199"/>
      <c r="D105" s="14" t="s">
        <v>17</v>
      </c>
      <c r="E105" s="15">
        <f>Data!B76</f>
        <v>1.986</v>
      </c>
      <c r="F105" s="15">
        <f>Data!C76</f>
        <v>1.99</v>
      </c>
      <c r="G105" s="15">
        <f>Data!D76</f>
        <v>1.994</v>
      </c>
      <c r="H105" s="15">
        <f>Data!E76</f>
        <v>1.986</v>
      </c>
      <c r="I105" s="15">
        <f>Data!F76</f>
        <v>1.99</v>
      </c>
      <c r="J105" s="15">
        <f>Data!G76</f>
        <v>1.994</v>
      </c>
      <c r="K105" s="15"/>
      <c r="L105" s="199"/>
      <c r="M105" s="129" t="s">
        <v>17</v>
      </c>
      <c r="N105" s="15">
        <f t="shared" si="328"/>
        <v>1.7460957834461222</v>
      </c>
      <c r="O105" s="15">
        <f t="shared" si="328"/>
        <v>1.7500000000000004</v>
      </c>
      <c r="P105" s="15">
        <f t="shared" si="328"/>
        <v>1.7539042165538785</v>
      </c>
      <c r="Q105" s="15">
        <f t="shared" si="328"/>
        <v>1.7460957834461222</v>
      </c>
      <c r="R105" s="15">
        <f t="shared" si="328"/>
        <v>1.7500000000000004</v>
      </c>
      <c r="S105" s="15">
        <f t="shared" si="328"/>
        <v>1.7539042165538785</v>
      </c>
      <c r="T105" s="20">
        <f t="shared" si="213"/>
        <v>1.7500000000000002</v>
      </c>
      <c r="U105" s="40">
        <f t="shared" si="214"/>
        <v>3.4920374453406336E-3</v>
      </c>
      <c r="V105" s="109"/>
      <c r="W105" s="82">
        <v>25</v>
      </c>
      <c r="X105" s="20">
        <f>IFERROR(($N$15-N105)/W105,"")</f>
        <v>-8.9796980739198062E-4</v>
      </c>
      <c r="Y105" s="15">
        <f>IFERROR(($O$15-O105)/W105,"")</f>
        <v>-1.1712649661634611E-3</v>
      </c>
      <c r="Z105" s="15">
        <f>IFERROR(($P$15-P105)/W105,"")</f>
        <v>-8.5892764185319765E-4</v>
      </c>
      <c r="AA105" s="15">
        <f>IFERROR(($Q$15-Q105)/W105,"")</f>
        <v>-8.9796980739198062E-4</v>
      </c>
      <c r="AB105" s="15">
        <f>IFERROR(($R$15-R105)/W105,"")</f>
        <v>-1.1712649661634611E-3</v>
      </c>
      <c r="AC105" s="15">
        <f>IFERROR(($S$15-S105)/W105,"")</f>
        <v>-8.5892764185319765E-4</v>
      </c>
      <c r="AD105" s="20">
        <f>IFERROR(AVERAGE(X105:AC105), "")</f>
        <v>-9.7605413846954656E-4</v>
      </c>
      <c r="AE105" s="40">
        <f>IFERROR(STDEV(X105:AC105), "")</f>
        <v>1.5221438331300193E-4</v>
      </c>
      <c r="AG105" s="229"/>
      <c r="AH105" s="77">
        <f>'Sample ID'!$F$7</f>
        <v>1</v>
      </c>
      <c r="AI105" s="77">
        <f>IFERROR((X105*$AH$33),"")</f>
        <v>-8.9796980739198062E-4</v>
      </c>
      <c r="AJ105" s="77">
        <f t="shared" ref="AJ105" si="334">IFERROR((Y105*$AH$33),"")</f>
        <v>-1.1712649661634611E-3</v>
      </c>
      <c r="AK105" s="77">
        <f t="shared" ref="AK105" si="335">IFERROR((Z105*$AH$33),"")</f>
        <v>-8.5892764185319765E-4</v>
      </c>
      <c r="AL105" s="77">
        <f t="shared" ref="AL105" si="336">IFERROR((AA105*$AH$33),"")</f>
        <v>-8.9796980739198062E-4</v>
      </c>
      <c r="AM105" s="77">
        <f t="shared" ref="AM105" si="337">IFERROR((AB105*$AH$33),"")</f>
        <v>-1.1712649661634611E-3</v>
      </c>
      <c r="AN105" s="77">
        <f t="shared" ref="AN105" si="338">IFERROR((AC105*$AH$33),"")</f>
        <v>-8.5892764185319765E-4</v>
      </c>
      <c r="AO105" s="40">
        <f t="shared" ref="AO105:AO111" si="339">IFERROR(AVERAGE(AI105:AN105),"")</f>
        <v>-9.7605413846954656E-4</v>
      </c>
      <c r="AP105" s="40">
        <f>IFERROR(STDEV(AI105:AN105), "")</f>
        <v>1.5221438331300193E-4</v>
      </c>
      <c r="AQ105" s="15"/>
      <c r="AR105" s="15"/>
    </row>
    <row r="106" spans="3:44">
      <c r="C106" s="199"/>
      <c r="D106" s="14" t="s">
        <v>18</v>
      </c>
      <c r="E106" s="15">
        <f>Data!B77</f>
        <v>2.0089999999999999</v>
      </c>
      <c r="F106" s="15">
        <f>Data!C77</f>
        <v>2.0129999999999999</v>
      </c>
      <c r="G106" s="15">
        <f>Data!D77</f>
        <v>2.024</v>
      </c>
      <c r="H106" s="15">
        <f>Data!E77</f>
        <v>2.0089999999999999</v>
      </c>
      <c r="I106" s="15">
        <f>Data!F77</f>
        <v>2.0129999999999999</v>
      </c>
      <c r="J106" s="15">
        <f>Data!G77</f>
        <v>2.024</v>
      </c>
      <c r="K106" s="15"/>
      <c r="L106" s="199"/>
      <c r="M106" s="129" t="s">
        <v>18</v>
      </c>
      <c r="N106" s="15">
        <f t="shared" si="328"/>
        <v>1.7685450286309217</v>
      </c>
      <c r="O106" s="15">
        <f t="shared" si="328"/>
        <v>1.7724492451848</v>
      </c>
      <c r="P106" s="15">
        <f t="shared" si="328"/>
        <v>1.783185840707965</v>
      </c>
      <c r="Q106" s="15">
        <f t="shared" si="328"/>
        <v>1.7685450286309217</v>
      </c>
      <c r="R106" s="15">
        <f t="shared" si="328"/>
        <v>1.7724492451848</v>
      </c>
      <c r="S106" s="15">
        <f t="shared" si="328"/>
        <v>1.783185840707965</v>
      </c>
      <c r="T106" s="20">
        <f t="shared" si="213"/>
        <v>1.774726704841229</v>
      </c>
      <c r="U106" s="40">
        <f t="shared" si="214"/>
        <v>6.7810595888147642E-3</v>
      </c>
      <c r="V106" s="109"/>
      <c r="W106" s="82">
        <v>25</v>
      </c>
      <c r="X106" s="20">
        <f>IFERROR(($N$16-N106)/W106,"")</f>
        <v>-1.1712649661634522E-3</v>
      </c>
      <c r="Y106" s="15">
        <f>IFERROR(($O$16-O106)/W106,"")</f>
        <v>-5.0754815200416026E-4</v>
      </c>
      <c r="Z106" s="15">
        <f>IFERROR(($P$16-P106)/W106,"")</f>
        <v>1.1712649661634877E-4</v>
      </c>
      <c r="AA106" s="15">
        <f>IFERROR(($Q$16-Q106)/W106,"")</f>
        <v>-1.1712649661634522E-3</v>
      </c>
      <c r="AB106" s="15">
        <f>IFERROR(($R$16-R106)/W106,"")</f>
        <v>-5.0754815200416026E-4</v>
      </c>
      <c r="AC106" s="15">
        <f>IFERROR(($S$16-S106)/W106,"")</f>
        <v>1.1712649661634877E-4</v>
      </c>
      <c r="AD106" s="20">
        <f>IFERROR(AVERAGE(X106:AC106), "")</f>
        <v>-5.2056220718375455E-4</v>
      </c>
      <c r="AE106" s="40">
        <f t="shared" ref="AE106:AE111" si="340">IFERROR(STDEV(X106:AC106), "")</f>
        <v>5.7627435449801644E-4</v>
      </c>
      <c r="AG106" s="229"/>
      <c r="AH106" s="77">
        <f>'Sample ID'!$F$8</f>
        <v>1</v>
      </c>
      <c r="AI106" s="77">
        <f>IFERROR((X106*$AH$34),"")</f>
        <v>-1.1712649661634522E-3</v>
      </c>
      <c r="AJ106" s="77">
        <f t="shared" ref="AJ106" si="341">IFERROR((Y106*$AH$34),"")</f>
        <v>-5.0754815200416026E-4</v>
      </c>
      <c r="AK106" s="77">
        <f t="shared" ref="AK106" si="342">IFERROR((Z106*$AH$34),"")</f>
        <v>1.1712649661634877E-4</v>
      </c>
      <c r="AL106" s="77">
        <f t="shared" ref="AL106" si="343">IFERROR((AA106*$AH$34),"")</f>
        <v>-1.1712649661634522E-3</v>
      </c>
      <c r="AM106" s="77">
        <f t="shared" ref="AM106" si="344">IFERROR((AB106*$AH$34),"")</f>
        <v>-5.0754815200416026E-4</v>
      </c>
      <c r="AN106" s="77">
        <f t="shared" ref="AN106" si="345">IFERROR((AC106*$AH$34),"")</f>
        <v>1.1712649661634877E-4</v>
      </c>
      <c r="AO106" s="40">
        <f t="shared" si="339"/>
        <v>-5.2056220718375455E-4</v>
      </c>
      <c r="AP106" s="40">
        <f t="shared" ref="AP106:AP111" si="346">IFERROR(STDEV(AI106:AN106), "")</f>
        <v>5.7627435449801644E-4</v>
      </c>
      <c r="AQ106" s="15"/>
      <c r="AR106" s="15"/>
    </row>
    <row r="107" spans="3:44">
      <c r="C107" s="199"/>
      <c r="D107" s="14" t="s">
        <v>19</v>
      </c>
      <c r="E107" s="15">
        <f>Data!B78</f>
        <v>2.238</v>
      </c>
      <c r="F107" s="15">
        <f>Data!C78</f>
        <v>2.242</v>
      </c>
      <c r="G107" s="15">
        <f>Data!D78</f>
        <v>2.2469999999999999</v>
      </c>
      <c r="H107" s="15">
        <f>Data!E78</f>
        <v>2.238</v>
      </c>
      <c r="I107" s="15">
        <f>Data!F78</f>
        <v>2.242</v>
      </c>
      <c r="J107" s="15">
        <f>Data!G78</f>
        <v>2.2469999999999999</v>
      </c>
      <c r="K107" s="15"/>
      <c r="L107" s="199"/>
      <c r="M107" s="129" t="s">
        <v>19</v>
      </c>
      <c r="N107" s="15">
        <f t="shared" si="328"/>
        <v>1.9920614263404481</v>
      </c>
      <c r="O107" s="15">
        <f t="shared" si="328"/>
        <v>1.9959656428943262</v>
      </c>
      <c r="P107" s="15">
        <f t="shared" si="328"/>
        <v>2.0008459135866739</v>
      </c>
      <c r="Q107" s="15">
        <f t="shared" si="328"/>
        <v>1.9920614263404481</v>
      </c>
      <c r="R107" s="15">
        <f t="shared" si="328"/>
        <v>1.9959656428943262</v>
      </c>
      <c r="S107" s="15">
        <f t="shared" si="328"/>
        <v>2.0008459135866739</v>
      </c>
      <c r="T107" s="20">
        <f t="shared" si="213"/>
        <v>1.9962909942738161</v>
      </c>
      <c r="U107" s="40">
        <f t="shared" si="214"/>
        <v>3.9366172468125495E-3</v>
      </c>
      <c r="V107" s="109"/>
      <c r="W107" s="82">
        <v>25</v>
      </c>
      <c r="X107" s="20">
        <f>IFERROR(($N$17-N107)/W107,"")</f>
        <v>-7.3399271212910037E-3</v>
      </c>
      <c r="Y107" s="15">
        <f>IFERROR(($O$17-O107)/W107,"")</f>
        <v>-7.613222280062457E-3</v>
      </c>
      <c r="Z107" s="15">
        <f>IFERROR(($P$17-P107)/W107,"")</f>
        <v>-7.4960957834461087E-3</v>
      </c>
      <c r="AA107" s="15">
        <f>IFERROR(($Q$17-Q107)/W107,"")</f>
        <v>-7.3399271212910037E-3</v>
      </c>
      <c r="AB107" s="15">
        <f>IFERROR(($R$17-R107)/W107,"")</f>
        <v>-7.613222280062457E-3</v>
      </c>
      <c r="AC107" s="15">
        <f>IFERROR(($S$17-S107)/W107,"")</f>
        <v>-7.4960957834461087E-3</v>
      </c>
      <c r="AD107" s="20">
        <f t="shared" ref="AD107:AD111" si="347">IFERROR(AVERAGE(X107:AC107), "")</f>
        <v>-7.4830817282665225E-3</v>
      </c>
      <c r="AE107" s="40">
        <f t="shared" si="340"/>
        <v>1.2263632472034189E-4</v>
      </c>
      <c r="AG107" s="229"/>
      <c r="AH107" s="77">
        <f>'Sample ID'!$F$9</f>
        <v>1</v>
      </c>
      <c r="AI107" s="77">
        <f>IFERROR((X107*$AH$35),"")</f>
        <v>-7.3399271212910037E-3</v>
      </c>
      <c r="AJ107" s="77">
        <f t="shared" ref="AJ107" si="348">IFERROR((Y107*$AH$35),"")</f>
        <v>-7.613222280062457E-3</v>
      </c>
      <c r="AK107" s="77">
        <f t="shared" ref="AK107" si="349">IFERROR((Z107*$AH$35),"")</f>
        <v>-7.4960957834461087E-3</v>
      </c>
      <c r="AL107" s="77">
        <f t="shared" ref="AL107" si="350">IFERROR((AA107*$AH$35),"")</f>
        <v>-7.3399271212910037E-3</v>
      </c>
      <c r="AM107" s="77">
        <f t="shared" ref="AM107" si="351">IFERROR((AB107*$AH$35),"")</f>
        <v>-7.613222280062457E-3</v>
      </c>
      <c r="AN107" s="77">
        <f t="shared" ref="AN107" si="352">IFERROR((AC107*$AH$35),"")</f>
        <v>-7.4960957834461087E-3</v>
      </c>
      <c r="AO107" s="40">
        <f t="shared" si="339"/>
        <v>-7.4830817282665225E-3</v>
      </c>
      <c r="AP107" s="40">
        <f t="shared" si="346"/>
        <v>1.2263632472034189E-4</v>
      </c>
      <c r="AQ107" s="15"/>
      <c r="AR107" s="15"/>
    </row>
    <row r="108" spans="3:44">
      <c r="C108" s="199"/>
      <c r="D108" s="14" t="s">
        <v>20</v>
      </c>
      <c r="E108" s="15">
        <f>Data!B79</f>
        <v>2.1709999999999998</v>
      </c>
      <c r="F108" s="15">
        <f>Data!C79</f>
        <v>2.1800000000000002</v>
      </c>
      <c r="G108" s="15">
        <f>Data!D79</f>
        <v>2.1949999999999998</v>
      </c>
      <c r="H108" s="15">
        <f>Data!E79</f>
        <v>2.1709999999999998</v>
      </c>
      <c r="I108" s="15">
        <f>Data!F79</f>
        <v>2.1800000000000002</v>
      </c>
      <c r="J108" s="15">
        <f>Data!G79</f>
        <v>2.1949999999999998</v>
      </c>
      <c r="K108" s="15"/>
      <c r="L108" s="199"/>
      <c r="M108" s="129" t="s">
        <v>20</v>
      </c>
      <c r="N108" s="15">
        <f t="shared" si="328"/>
        <v>1.9266657990629883</v>
      </c>
      <c r="O108" s="15">
        <f t="shared" si="328"/>
        <v>1.9354502863092145</v>
      </c>
      <c r="P108" s="15">
        <f t="shared" si="328"/>
        <v>1.9500910983862574</v>
      </c>
      <c r="Q108" s="15">
        <f t="shared" si="328"/>
        <v>1.9266657990629883</v>
      </c>
      <c r="R108" s="15">
        <f t="shared" si="328"/>
        <v>1.9354502863092145</v>
      </c>
      <c r="S108" s="15">
        <f t="shared" si="328"/>
        <v>1.9500910983862574</v>
      </c>
      <c r="T108" s="20">
        <f t="shared" si="213"/>
        <v>1.9374023945861534</v>
      </c>
      <c r="U108" s="40">
        <f t="shared" si="214"/>
        <v>1.0584675985210238E-2</v>
      </c>
      <c r="V108" s="109"/>
      <c r="W108" s="82">
        <v>25</v>
      </c>
      <c r="X108" s="20">
        <f>IFERROR(($N$18-N108)/W108,"")</f>
        <v>-3.1233732431025364E-3</v>
      </c>
      <c r="Y108" s="15">
        <f>IFERROR(($O$18-O108)/W108,"")</f>
        <v>-4.4117647058823459E-3</v>
      </c>
      <c r="Z108" s="15">
        <f>IFERROR(($P$18-P108)/W108,"")</f>
        <v>-4.1384695471108745E-3</v>
      </c>
      <c r="AA108" s="15">
        <f>IFERROR(($Q$18-Q108)/W108,"")</f>
        <v>-3.1233732431025364E-3</v>
      </c>
      <c r="AB108" s="15">
        <f>IFERROR(($R$18-R108)/W108,"")</f>
        <v>-4.4117647058823459E-3</v>
      </c>
      <c r="AC108" s="15">
        <f>IFERROR(($S$18-S108)/W108,"")</f>
        <v>-4.1384695471108745E-3</v>
      </c>
      <c r="AD108" s="20">
        <f t="shared" si="347"/>
        <v>-3.8912024986985858E-3</v>
      </c>
      <c r="AE108" s="40">
        <f t="shared" si="340"/>
        <v>6.0718622202014317E-4</v>
      </c>
      <c r="AG108" s="229"/>
      <c r="AH108" s="77">
        <f>'Sample ID'!$F$10</f>
        <v>1</v>
      </c>
      <c r="AI108" s="77">
        <f>IFERROR((X108*$AH$36),"")</f>
        <v>-3.1233732431025364E-3</v>
      </c>
      <c r="AJ108" s="77">
        <f t="shared" ref="AJ108" si="353">IFERROR((Y108*$AH$36),"")</f>
        <v>-4.4117647058823459E-3</v>
      </c>
      <c r="AK108" s="77">
        <f t="shared" ref="AK108" si="354">IFERROR((Z108*$AH$36),"")</f>
        <v>-4.1384695471108745E-3</v>
      </c>
      <c r="AL108" s="77">
        <f t="shared" ref="AL108" si="355">IFERROR((AA108*$AH$36),"")</f>
        <v>-3.1233732431025364E-3</v>
      </c>
      <c r="AM108" s="77">
        <f t="shared" ref="AM108" si="356">IFERROR((AB108*$AH$36),"")</f>
        <v>-4.4117647058823459E-3</v>
      </c>
      <c r="AN108" s="77">
        <f t="shared" ref="AN108" si="357">IFERROR((AC108*$AH$36),"")</f>
        <v>-4.1384695471108745E-3</v>
      </c>
      <c r="AO108" s="40">
        <f t="shared" si="339"/>
        <v>-3.8912024986985858E-3</v>
      </c>
      <c r="AP108" s="40">
        <f t="shared" si="346"/>
        <v>6.0718622202014317E-4</v>
      </c>
      <c r="AQ108" s="15"/>
      <c r="AR108" s="15"/>
    </row>
    <row r="109" spans="3:44">
      <c r="C109" s="199"/>
      <c r="D109" s="14" t="s">
        <v>21</v>
      </c>
      <c r="E109" s="15">
        <f>Data!B80</f>
        <v>1.6060000000000001</v>
      </c>
      <c r="F109" s="15">
        <f>Data!C80</f>
        <v>1.6279999999999999</v>
      </c>
      <c r="G109" s="15">
        <f>Data!D80</f>
        <v>1.5649999999999999</v>
      </c>
      <c r="H109" s="15">
        <f>Data!E80</f>
        <v>1.6060000000000001</v>
      </c>
      <c r="I109" s="15">
        <f>Data!F80</f>
        <v>1.6279999999999999</v>
      </c>
      <c r="J109" s="15">
        <f>Data!G80</f>
        <v>1.5649999999999999</v>
      </c>
      <c r="K109" s="15"/>
      <c r="L109" s="199"/>
      <c r="M109" s="129" t="s">
        <v>21</v>
      </c>
      <c r="N109" s="15">
        <f t="shared" si="328"/>
        <v>1.3751952108276944</v>
      </c>
      <c r="O109" s="15">
        <f t="shared" si="328"/>
        <v>1.3966684018740241</v>
      </c>
      <c r="P109" s="15">
        <f t="shared" si="328"/>
        <v>1.3351769911504427</v>
      </c>
      <c r="Q109" s="15">
        <f t="shared" si="328"/>
        <v>1.3751952108276944</v>
      </c>
      <c r="R109" s="15">
        <f t="shared" si="328"/>
        <v>1.3966684018740241</v>
      </c>
      <c r="S109" s="15">
        <f t="shared" si="328"/>
        <v>1.3351769911504427</v>
      </c>
      <c r="T109" s="20">
        <f t="shared" si="213"/>
        <v>1.3690135346173868</v>
      </c>
      <c r="U109" s="40">
        <f t="shared" si="214"/>
        <v>2.7913555685664306E-2</v>
      </c>
      <c r="V109" s="109"/>
      <c r="W109" s="82">
        <v>25</v>
      </c>
      <c r="X109" s="20">
        <f>IFERROR(($N$19-N109)/W109,"")</f>
        <v>1.136127017178553E-2</v>
      </c>
      <c r="Y109" s="15">
        <f>IFERROR(($O$19-O109)/W109,"")</f>
        <v>1.1946902654867263E-2</v>
      </c>
      <c r="Z109" s="15">
        <f>IFERROR(($P$19-P109)/W109,"")</f>
        <v>1.2883914627798027E-2</v>
      </c>
      <c r="AA109" s="15">
        <f>IFERROR(($Q$19-Q109)/W109,"")</f>
        <v>1.136127017178553E-2</v>
      </c>
      <c r="AB109" s="15">
        <f>IFERROR(($R$19-R109)/W109,"")</f>
        <v>1.1946902654867263E-2</v>
      </c>
      <c r="AC109" s="15">
        <f>IFERROR(($S$19-S109)/W109,"")</f>
        <v>1.2883914627798027E-2</v>
      </c>
      <c r="AD109" s="20">
        <f t="shared" si="347"/>
        <v>1.2064029151483607E-2</v>
      </c>
      <c r="AE109" s="40">
        <f t="shared" si="340"/>
        <v>6.8696462617145689E-4</v>
      </c>
      <c r="AG109" s="229"/>
      <c r="AH109" s="77">
        <f>'Sample ID'!$F$11</f>
        <v>0</v>
      </c>
      <c r="AI109" s="77">
        <f>IFERROR((X109*$AH$37),"")</f>
        <v>0</v>
      </c>
      <c r="AJ109" s="77">
        <f t="shared" ref="AJ109" si="358">IFERROR((Y109*$AH$37),"")</f>
        <v>0</v>
      </c>
      <c r="AK109" s="77">
        <f t="shared" ref="AK109" si="359">IFERROR((Z109*$AH$37),"")</f>
        <v>0</v>
      </c>
      <c r="AL109" s="77">
        <f t="shared" ref="AL109" si="360">IFERROR((AA109*$AH$37),"")</f>
        <v>0</v>
      </c>
      <c r="AM109" s="77">
        <f t="shared" ref="AM109" si="361">IFERROR((AB109*$AH$37),"")</f>
        <v>0</v>
      </c>
      <c r="AN109" s="77">
        <f t="shared" ref="AN109" si="362">IFERROR((AC109*$AH$37),"")</f>
        <v>0</v>
      </c>
      <c r="AO109" s="40">
        <f t="shared" si="339"/>
        <v>0</v>
      </c>
      <c r="AP109" s="40">
        <f t="shared" si="346"/>
        <v>0</v>
      </c>
      <c r="AQ109" s="15"/>
      <c r="AR109" s="15"/>
    </row>
    <row r="110" spans="3:44">
      <c r="C110" s="199"/>
      <c r="D110" s="14" t="s">
        <v>22</v>
      </c>
      <c r="E110" s="15">
        <f>Data!B81</f>
        <v>1.76</v>
      </c>
      <c r="F110" s="15">
        <f>Data!C81</f>
        <v>1.756</v>
      </c>
      <c r="G110" s="15">
        <f>Data!D81</f>
        <v>1.7669999999999999</v>
      </c>
      <c r="H110" s="15">
        <f>Data!E81</f>
        <v>1.76</v>
      </c>
      <c r="I110" s="15">
        <f>Data!F81</f>
        <v>1.756</v>
      </c>
      <c r="J110" s="15">
        <f>Data!G81</f>
        <v>1.7669999999999999</v>
      </c>
      <c r="K110" s="15"/>
      <c r="L110" s="199"/>
      <c r="M110" s="129" t="s">
        <v>22</v>
      </c>
      <c r="N110" s="15">
        <f t="shared" si="328"/>
        <v>1.5255075481520044</v>
      </c>
      <c r="O110" s="15">
        <f t="shared" si="328"/>
        <v>1.5216033315981263</v>
      </c>
      <c r="P110" s="15">
        <f t="shared" si="328"/>
        <v>1.5323399271212912</v>
      </c>
      <c r="Q110" s="15">
        <f t="shared" si="328"/>
        <v>1.5255075481520044</v>
      </c>
      <c r="R110" s="15">
        <f t="shared" si="328"/>
        <v>1.5216033315981263</v>
      </c>
      <c r="S110" s="15">
        <f t="shared" si="328"/>
        <v>1.5323399271212912</v>
      </c>
      <c r="T110" s="20">
        <f t="shared" si="213"/>
        <v>1.526483602290474</v>
      </c>
      <c r="U110" s="40">
        <f t="shared" si="214"/>
        <v>4.8607104104588343E-3</v>
      </c>
      <c r="V110" s="109"/>
      <c r="W110" s="82">
        <v>25</v>
      </c>
      <c r="X110" s="20">
        <f>IFERROR(($N$20-N110)/W110,"")</f>
        <v>5.7391983342009482E-3</v>
      </c>
      <c r="Y110" s="15">
        <f>IFERROR(($O$20-O110)/W110,"")</f>
        <v>5.7001561686621559E-3</v>
      </c>
      <c r="Z110" s="15">
        <f>IFERROR(($P$20-P110)/W110,"")</f>
        <v>5.7391983342009387E-3</v>
      </c>
      <c r="AA110" s="15">
        <f>IFERROR(($Q$20-Q110)/W110,"")</f>
        <v>5.7391983342009482E-3</v>
      </c>
      <c r="AB110" s="15">
        <f>IFERROR(($R$20-R110)/W110,"")</f>
        <v>5.7001561686621559E-3</v>
      </c>
      <c r="AC110" s="15">
        <f>IFERROR(($S$20-S110)/W110,"")</f>
        <v>5.7391983342009387E-3</v>
      </c>
      <c r="AD110" s="20">
        <f t="shared" si="347"/>
        <v>5.7261842790213473E-3</v>
      </c>
      <c r="AE110" s="40">
        <f t="shared" si="340"/>
        <v>2.0161287590879624E-5</v>
      </c>
      <c r="AG110" s="229"/>
      <c r="AH110" s="77">
        <f>'Sample ID'!$F$12</f>
        <v>0</v>
      </c>
      <c r="AI110" s="77">
        <f>IFERROR((X110*$AH$38),"")</f>
        <v>0</v>
      </c>
      <c r="AJ110" s="77">
        <f t="shared" ref="AJ110" si="363">IFERROR((Y110*$AH$38),"")</f>
        <v>0</v>
      </c>
      <c r="AK110" s="77">
        <f t="shared" ref="AK110" si="364">IFERROR((Z110*$AH$38),"")</f>
        <v>0</v>
      </c>
      <c r="AL110" s="77">
        <f t="shared" ref="AL110" si="365">IFERROR((AA110*$AH$38),"")</f>
        <v>0</v>
      </c>
      <c r="AM110" s="77">
        <f t="shared" ref="AM110" si="366">IFERROR((AB110*$AH$38),"")</f>
        <v>0</v>
      </c>
      <c r="AN110" s="77">
        <f t="shared" ref="AN110" si="367">IFERROR((AC110*$AH$38),"")</f>
        <v>0</v>
      </c>
      <c r="AO110" s="40">
        <f t="shared" si="339"/>
        <v>0</v>
      </c>
      <c r="AP110" s="40">
        <f t="shared" si="346"/>
        <v>0</v>
      </c>
      <c r="AQ110" s="15"/>
      <c r="AR110" s="15"/>
    </row>
    <row r="111" spans="3:44">
      <c r="C111" s="199"/>
      <c r="D111" s="14" t="s">
        <v>23</v>
      </c>
      <c r="E111" s="15">
        <f>Data!B82</f>
        <v>0</v>
      </c>
      <c r="F111" s="15">
        <f>Data!C82</f>
        <v>0</v>
      </c>
      <c r="G111" s="15">
        <f>Data!D82</f>
        <v>0</v>
      </c>
      <c r="H111" s="15">
        <f>Data!E82</f>
        <v>0</v>
      </c>
      <c r="I111" s="15">
        <f>Data!F82</f>
        <v>0</v>
      </c>
      <c r="J111" s="15">
        <f>Data!G82</f>
        <v>0</v>
      </c>
      <c r="K111" s="15"/>
      <c r="L111" s="199"/>
      <c r="M111" s="129" t="s">
        <v>23</v>
      </c>
      <c r="N111" s="15" t="str">
        <f t="shared" si="328"/>
        <v xml:space="preserve"> </v>
      </c>
      <c r="O111" s="15" t="str">
        <f t="shared" si="328"/>
        <v xml:space="preserve"> </v>
      </c>
      <c r="P111" s="15" t="str">
        <f t="shared" si="328"/>
        <v xml:space="preserve"> </v>
      </c>
      <c r="Q111" s="15" t="str">
        <f t="shared" si="328"/>
        <v xml:space="preserve"> </v>
      </c>
      <c r="R111" s="15" t="str">
        <f t="shared" si="328"/>
        <v xml:space="preserve"> </v>
      </c>
      <c r="S111" s="15" t="str">
        <f t="shared" si="328"/>
        <v xml:space="preserve"> </v>
      </c>
      <c r="T111" s="20" t="str">
        <f t="shared" si="213"/>
        <v/>
      </c>
      <c r="U111" s="40" t="str">
        <f t="shared" si="214"/>
        <v/>
      </c>
      <c r="V111" s="109"/>
      <c r="W111" s="82">
        <v>25</v>
      </c>
      <c r="X111" s="20" t="str">
        <f>IFERROR(($N$21-N111)/W111,"")</f>
        <v/>
      </c>
      <c r="Y111" s="15" t="str">
        <f>IFERROR(($O$21-O111)/W111,"")</f>
        <v/>
      </c>
      <c r="Z111" s="15" t="str">
        <f>IFERROR(($P$21-P111)/W111,"")</f>
        <v/>
      </c>
      <c r="AA111" s="15" t="str">
        <f>IFERROR(($Q$21-Q111)/W111,"")</f>
        <v/>
      </c>
      <c r="AB111" s="15" t="str">
        <f>IFERROR(($R$21-R111)/W111,"")</f>
        <v/>
      </c>
      <c r="AC111" s="15" t="str">
        <f>IFERROR(($S$21-S111)/W111,"")</f>
        <v/>
      </c>
      <c r="AD111" s="20" t="str">
        <f t="shared" si="347"/>
        <v/>
      </c>
      <c r="AE111" s="40" t="str">
        <f t="shared" si="340"/>
        <v/>
      </c>
      <c r="AG111" s="229"/>
      <c r="AH111" s="77">
        <f>'Sample ID'!$F$13</f>
        <v>0</v>
      </c>
      <c r="AI111" s="77" t="str">
        <f>IFERROR((X111*$AH$39),"")</f>
        <v/>
      </c>
      <c r="AJ111" s="77" t="str">
        <f t="shared" ref="AJ111" si="368">IFERROR((Y111*$AH$39),"")</f>
        <v/>
      </c>
      <c r="AK111" s="77" t="str">
        <f t="shared" ref="AK111" si="369">IFERROR((Z111*$AH$39),"")</f>
        <v/>
      </c>
      <c r="AL111" s="77" t="str">
        <f t="shared" ref="AL111" si="370">IFERROR((AA111*$AH$39),"")</f>
        <v/>
      </c>
      <c r="AM111" s="77" t="str">
        <f t="shared" ref="AM111" si="371">IFERROR((AB111*$AH$39),"")</f>
        <v/>
      </c>
      <c r="AN111" s="77" t="str">
        <f t="shared" ref="AN111" si="372">IFERROR((AC111*$AH$39),"")</f>
        <v/>
      </c>
      <c r="AO111" s="40" t="str">
        <f t="shared" si="339"/>
        <v/>
      </c>
      <c r="AP111" s="40" t="str">
        <f t="shared" si="346"/>
        <v/>
      </c>
      <c r="AQ111" s="15"/>
      <c r="AR111" s="15"/>
    </row>
    <row r="112" spans="3:44">
      <c r="C112" s="199"/>
      <c r="D112" s="39"/>
      <c r="E112" s="56">
        <v>7</v>
      </c>
      <c r="F112" s="56">
        <v>8</v>
      </c>
      <c r="G112" s="57">
        <v>9</v>
      </c>
      <c r="H112" s="56">
        <v>10</v>
      </c>
      <c r="I112" s="56">
        <v>11</v>
      </c>
      <c r="J112" s="57">
        <v>12</v>
      </c>
      <c r="K112" s="19"/>
      <c r="L112" s="199"/>
      <c r="M112" s="38"/>
      <c r="N112" s="59">
        <v>7</v>
      </c>
      <c r="O112" s="38">
        <v>8</v>
      </c>
      <c r="P112" s="38">
        <v>9</v>
      </c>
      <c r="Q112" s="38">
        <v>10</v>
      </c>
      <c r="R112" s="38">
        <v>11</v>
      </c>
      <c r="S112" s="50">
        <v>12</v>
      </c>
      <c r="T112" s="38" t="s">
        <v>24</v>
      </c>
      <c r="U112" s="51" t="s">
        <v>3</v>
      </c>
      <c r="V112" s="109"/>
      <c r="W112" s="98"/>
      <c r="X112" s="38">
        <v>7</v>
      </c>
      <c r="Y112" s="38">
        <v>8</v>
      </c>
      <c r="Z112" s="38">
        <v>9</v>
      </c>
      <c r="AA112" s="38">
        <v>10</v>
      </c>
      <c r="AB112" s="38">
        <v>11</v>
      </c>
      <c r="AC112" s="50">
        <v>12</v>
      </c>
      <c r="AD112" s="50" t="s">
        <v>49</v>
      </c>
      <c r="AE112" s="51" t="s">
        <v>3</v>
      </c>
      <c r="AG112" s="229"/>
      <c r="AH112" s="119"/>
      <c r="AI112" s="119"/>
      <c r="AJ112" s="119"/>
      <c r="AK112" s="119"/>
      <c r="AL112" s="119"/>
      <c r="AM112" s="119"/>
      <c r="AN112" s="119"/>
      <c r="AO112" s="100" t="str">
        <f>IFERROR(#REF!/(#REF!/W112), " ")</f>
        <v xml:space="preserve"> </v>
      </c>
      <c r="AP112" s="51" t="s">
        <v>3</v>
      </c>
      <c r="AQ112" s="15"/>
      <c r="AR112" s="15"/>
    </row>
    <row r="113" spans="3:44">
      <c r="C113" s="199"/>
      <c r="D113" s="14" t="s">
        <v>16</v>
      </c>
      <c r="E113" s="15">
        <f>Data!H75</f>
        <v>0</v>
      </c>
      <c r="F113" s="15">
        <f>Data!I75</f>
        <v>0</v>
      </c>
      <c r="G113" s="15">
        <f>Data!J75</f>
        <v>0</v>
      </c>
      <c r="H113" s="15">
        <f>Data!K75</f>
        <v>0</v>
      </c>
      <c r="I113" s="15">
        <f>Data!L75</f>
        <v>0</v>
      </c>
      <c r="J113" s="15">
        <f>Data!M75</f>
        <v>0</v>
      </c>
      <c r="K113" s="15"/>
      <c r="L113" s="199"/>
      <c r="M113" s="129" t="s">
        <v>16</v>
      </c>
      <c r="N113" s="15" t="str">
        <f t="shared" ref="N113:S120" si="373">IF(((E113-$P$11)/$P$10)&gt;0,((E113-$P$11)/$P$10)," ")</f>
        <v xml:space="preserve"> </v>
      </c>
      <c r="O113" s="15" t="str">
        <f t="shared" si="373"/>
        <v xml:space="preserve"> </v>
      </c>
      <c r="P113" s="15" t="str">
        <f t="shared" si="373"/>
        <v xml:space="preserve"> </v>
      </c>
      <c r="Q113" s="15" t="str">
        <f t="shared" si="373"/>
        <v xml:space="preserve"> </v>
      </c>
      <c r="R113" s="15" t="str">
        <f t="shared" si="373"/>
        <v xml:space="preserve"> </v>
      </c>
      <c r="S113" s="15" t="str">
        <f t="shared" si="373"/>
        <v xml:space="preserve"> </v>
      </c>
      <c r="T113" s="20" t="str">
        <f t="shared" ref="T113:T145" si="374">IFERROR(AVERAGE(N113:S113),"")</f>
        <v/>
      </c>
      <c r="U113" s="40" t="str">
        <f t="shared" ref="U113:U145" si="375">IFERROR(STDEV(N113:S113),"")</f>
        <v/>
      </c>
      <c r="V113" s="109"/>
      <c r="W113" s="82">
        <v>25</v>
      </c>
      <c r="X113" s="20" t="str">
        <f>IFERROR(($N$23-N113)/W113,"")</f>
        <v/>
      </c>
      <c r="Y113" s="15" t="str">
        <f>IFERROR(($O$23-O113)/W113,"")</f>
        <v/>
      </c>
      <c r="Z113" s="15" t="str">
        <f>IFERROR(($P$23-P113)/W113,"")</f>
        <v/>
      </c>
      <c r="AA113" s="15" t="str">
        <f>IFERROR(($Q$23-Q113)/W113,"")</f>
        <v/>
      </c>
      <c r="AB113" s="15" t="str">
        <f>IFERROR(($R$23-R113)/W113,"")</f>
        <v/>
      </c>
      <c r="AC113" s="15" t="str">
        <f>IFERROR(($S$23-S113)/W113,"")</f>
        <v/>
      </c>
      <c r="AD113" s="20" t="str">
        <f t="shared" ref="AD113:AD114" si="376">IFERROR(AVERAGE(X113:AC113), "")</f>
        <v/>
      </c>
      <c r="AE113" s="40" t="str">
        <f t="shared" ref="AE113:AE114" si="377">IFERROR(STDEV(X113:AC113), "")</f>
        <v/>
      </c>
      <c r="AG113" s="229"/>
      <c r="AH113" s="77">
        <f>'Sample ID'!$F$14</f>
        <v>0</v>
      </c>
      <c r="AI113" s="77" t="str">
        <f>IFERROR((X113*$AH$41),"")</f>
        <v/>
      </c>
      <c r="AJ113" s="77" t="str">
        <f t="shared" ref="AJ113" si="378">IFERROR((Y113*$AH$41),"")</f>
        <v/>
      </c>
      <c r="AK113" s="77" t="str">
        <f t="shared" ref="AK113" si="379">IFERROR((Z113*$AH$41),"")</f>
        <v/>
      </c>
      <c r="AL113" s="77" t="str">
        <f t="shared" ref="AL113" si="380">IFERROR((AA113*$AH$41),"")</f>
        <v/>
      </c>
      <c r="AM113" s="77" t="str">
        <f t="shared" ref="AM113" si="381">IFERROR((AB113*$AH$41),"")</f>
        <v/>
      </c>
      <c r="AN113" s="77" t="str">
        <f t="shared" ref="AN113" si="382">IFERROR((AC113*$AH$41),"")</f>
        <v/>
      </c>
      <c r="AO113" s="40" t="str">
        <f>IFERROR(AVERAGE(AI113:AN113),"")</f>
        <v/>
      </c>
      <c r="AP113" s="40" t="str">
        <f t="shared" ref="AP113:AP114" si="383">IFERROR(STDEV(AI113:AN113), "")</f>
        <v/>
      </c>
      <c r="AQ113" s="15"/>
      <c r="AR113" s="15"/>
    </row>
    <row r="114" spans="3:44">
      <c r="C114" s="199"/>
      <c r="D114" s="14" t="s">
        <v>17</v>
      </c>
      <c r="E114" s="15">
        <f>Data!H76</f>
        <v>0</v>
      </c>
      <c r="F114" s="15">
        <f>Data!I76</f>
        <v>0</v>
      </c>
      <c r="G114" s="15">
        <f>Data!J76</f>
        <v>0</v>
      </c>
      <c r="H114" s="15">
        <f>Data!K76</f>
        <v>0</v>
      </c>
      <c r="I114" s="15">
        <f>Data!L76</f>
        <v>0</v>
      </c>
      <c r="J114" s="15">
        <f>Data!M76</f>
        <v>0</v>
      </c>
      <c r="K114" s="15"/>
      <c r="L114" s="199"/>
      <c r="M114" s="129" t="s">
        <v>17</v>
      </c>
      <c r="N114" s="15" t="str">
        <f t="shared" si="373"/>
        <v xml:space="preserve"> </v>
      </c>
      <c r="O114" s="15" t="str">
        <f t="shared" si="373"/>
        <v xml:space="preserve"> </v>
      </c>
      <c r="P114" s="15" t="str">
        <f t="shared" si="373"/>
        <v xml:space="preserve"> </v>
      </c>
      <c r="Q114" s="15" t="str">
        <f t="shared" si="373"/>
        <v xml:space="preserve"> </v>
      </c>
      <c r="R114" s="15" t="str">
        <f t="shared" si="373"/>
        <v xml:space="preserve"> </v>
      </c>
      <c r="S114" s="15" t="str">
        <f t="shared" si="373"/>
        <v xml:space="preserve"> </v>
      </c>
      <c r="T114" s="20" t="str">
        <f t="shared" si="374"/>
        <v/>
      </c>
      <c r="U114" s="40" t="str">
        <f t="shared" si="375"/>
        <v/>
      </c>
      <c r="V114" s="109"/>
      <c r="W114" s="82">
        <v>25</v>
      </c>
      <c r="X114" s="20" t="str">
        <f>IFERROR(($N$24-N114)/W114,"")</f>
        <v/>
      </c>
      <c r="Y114" s="15" t="str">
        <f>IFERROR(($O$24-O114)/W114,"")</f>
        <v/>
      </c>
      <c r="Z114" s="15" t="str">
        <f>IFERROR(($P$24-P114)/W114,"")</f>
        <v/>
      </c>
      <c r="AA114" s="15" t="str">
        <f>IFERROR(($Q$24-Q114)/W114,"")</f>
        <v/>
      </c>
      <c r="AB114" s="15" t="str">
        <f>IFERROR(($R$24-R114)/W114,"")</f>
        <v/>
      </c>
      <c r="AC114" s="15" t="str">
        <f>IFERROR(($S$24-S114)/W114,"")</f>
        <v/>
      </c>
      <c r="AD114" s="20" t="str">
        <f t="shared" si="376"/>
        <v/>
      </c>
      <c r="AE114" s="40" t="str">
        <f t="shared" si="377"/>
        <v/>
      </c>
      <c r="AG114" s="229"/>
      <c r="AH114" s="77">
        <f>'Sample ID'!$F$15</f>
        <v>0</v>
      </c>
      <c r="AI114" s="77" t="str">
        <f>IFERROR((X114*$AH$42),"")</f>
        <v/>
      </c>
      <c r="AJ114" s="77" t="str">
        <f t="shared" ref="AJ114" si="384">IFERROR((Y114*$AH$42),"")</f>
        <v/>
      </c>
      <c r="AK114" s="77" t="str">
        <f t="shared" ref="AK114" si="385">IFERROR((Z114*$AH$42),"")</f>
        <v/>
      </c>
      <c r="AL114" s="77" t="str">
        <f t="shared" ref="AL114" si="386">IFERROR((AA114*$AH$42),"")</f>
        <v/>
      </c>
      <c r="AM114" s="77" t="str">
        <f t="shared" ref="AM114" si="387">IFERROR((AB114*$AH$42),"")</f>
        <v/>
      </c>
      <c r="AN114" s="77" t="str">
        <f t="shared" ref="AN114" si="388">IFERROR((AC114*$AH$42),"")</f>
        <v/>
      </c>
      <c r="AO114" s="40" t="str">
        <f t="shared" ref="AO114:AO120" si="389">IFERROR(AVERAGE(AI114:AN114),"")</f>
        <v/>
      </c>
      <c r="AP114" s="40" t="str">
        <f t="shared" si="383"/>
        <v/>
      </c>
      <c r="AQ114" s="15"/>
      <c r="AR114" s="15"/>
    </row>
    <row r="115" spans="3:44">
      <c r="C115" s="199"/>
      <c r="D115" s="14" t="s">
        <v>18</v>
      </c>
      <c r="E115" s="15">
        <f>Data!H77</f>
        <v>0</v>
      </c>
      <c r="F115" s="15">
        <f>Data!I77</f>
        <v>0</v>
      </c>
      <c r="G115" s="15">
        <f>Data!J77</f>
        <v>0</v>
      </c>
      <c r="H115" s="15">
        <f>Data!K77</f>
        <v>0</v>
      </c>
      <c r="I115" s="15">
        <f>Data!L77</f>
        <v>0</v>
      </c>
      <c r="J115" s="15">
        <f>Data!M77</f>
        <v>0</v>
      </c>
      <c r="K115" s="15"/>
      <c r="L115" s="199"/>
      <c r="M115" s="129" t="s">
        <v>18</v>
      </c>
      <c r="N115" s="15" t="str">
        <f t="shared" si="373"/>
        <v xml:space="preserve"> </v>
      </c>
      <c r="O115" s="15" t="str">
        <f t="shared" si="373"/>
        <v xml:space="preserve"> </v>
      </c>
      <c r="P115" s="15" t="str">
        <f t="shared" si="373"/>
        <v xml:space="preserve"> </v>
      </c>
      <c r="Q115" s="15" t="str">
        <f t="shared" si="373"/>
        <v xml:space="preserve"> </v>
      </c>
      <c r="R115" s="15" t="str">
        <f t="shared" si="373"/>
        <v xml:space="preserve"> </v>
      </c>
      <c r="S115" s="15" t="str">
        <f t="shared" si="373"/>
        <v xml:space="preserve"> </v>
      </c>
      <c r="T115" s="20" t="str">
        <f t="shared" si="374"/>
        <v/>
      </c>
      <c r="U115" s="40" t="str">
        <f t="shared" si="375"/>
        <v/>
      </c>
      <c r="V115" s="109"/>
      <c r="W115" s="82">
        <v>25</v>
      </c>
      <c r="X115" s="20" t="str">
        <f>IFERROR(($N$25-N115)/W115,"")</f>
        <v/>
      </c>
      <c r="Y115" s="15" t="str">
        <f>IFERROR(($O$25-O115)/W115,"")</f>
        <v/>
      </c>
      <c r="Z115" s="15" t="str">
        <f>IFERROR(($P$25-P115)/W115,"")</f>
        <v/>
      </c>
      <c r="AA115" s="15" t="str">
        <f>IFERROR(($Q$25-Q115)/W115,"")</f>
        <v/>
      </c>
      <c r="AB115" s="15" t="str">
        <f>IFERROR(($R$25-R115)/W115,"")</f>
        <v/>
      </c>
      <c r="AC115" s="15" t="str">
        <f>IFERROR(($S$25-S115)/W115,"")</f>
        <v/>
      </c>
      <c r="AD115" s="20" t="str">
        <f>IFERROR(AVERAGE(X115:AC115), "")</f>
        <v/>
      </c>
      <c r="AE115" s="40" t="str">
        <f>IFERROR(STDEV(X115:AC115), "")</f>
        <v/>
      </c>
      <c r="AG115" s="229"/>
      <c r="AH115" s="77">
        <f>'Sample ID'!$F$16</f>
        <v>0</v>
      </c>
      <c r="AI115" s="77" t="str">
        <f>IFERROR((X115*$AH$43),"")</f>
        <v/>
      </c>
      <c r="AJ115" s="77" t="str">
        <f t="shared" ref="AJ115" si="390">IFERROR((Y115*$AH$43),"")</f>
        <v/>
      </c>
      <c r="AK115" s="77" t="str">
        <f t="shared" ref="AK115" si="391">IFERROR((Z115*$AH$43),"")</f>
        <v/>
      </c>
      <c r="AL115" s="77" t="str">
        <f t="shared" ref="AL115" si="392">IFERROR((AA115*$AH$43),"")</f>
        <v/>
      </c>
      <c r="AM115" s="77" t="str">
        <f t="shared" ref="AM115" si="393">IFERROR((AB115*$AH$43),"")</f>
        <v/>
      </c>
      <c r="AN115" s="77" t="str">
        <f t="shared" ref="AN115" si="394">IFERROR((AC115*$AH$43),"")</f>
        <v/>
      </c>
      <c r="AO115" s="40" t="str">
        <f t="shared" si="389"/>
        <v/>
      </c>
      <c r="AP115" s="40" t="str">
        <f>IFERROR(STDEV(AI115:AN115), "")</f>
        <v/>
      </c>
      <c r="AQ115" s="15"/>
      <c r="AR115" s="15"/>
    </row>
    <row r="116" spans="3:44">
      <c r="C116" s="199"/>
      <c r="D116" s="14" t="s">
        <v>19</v>
      </c>
      <c r="E116" s="15">
        <f>Data!H78</f>
        <v>0</v>
      </c>
      <c r="F116" s="15">
        <f>Data!I78</f>
        <v>0</v>
      </c>
      <c r="G116" s="15">
        <f>Data!J78</f>
        <v>0</v>
      </c>
      <c r="H116" s="15">
        <f>Data!K78</f>
        <v>0</v>
      </c>
      <c r="I116" s="15">
        <f>Data!L78</f>
        <v>0</v>
      </c>
      <c r="J116" s="15">
        <f>Data!M78</f>
        <v>0</v>
      </c>
      <c r="K116" s="15"/>
      <c r="L116" s="199"/>
      <c r="M116" s="129" t="s">
        <v>19</v>
      </c>
      <c r="N116" s="15" t="str">
        <f t="shared" si="373"/>
        <v xml:space="preserve"> </v>
      </c>
      <c r="O116" s="15" t="str">
        <f t="shared" si="373"/>
        <v xml:space="preserve"> </v>
      </c>
      <c r="P116" s="15" t="str">
        <f t="shared" si="373"/>
        <v xml:space="preserve"> </v>
      </c>
      <c r="Q116" s="15" t="str">
        <f t="shared" si="373"/>
        <v xml:space="preserve"> </v>
      </c>
      <c r="R116" s="15" t="str">
        <f t="shared" si="373"/>
        <v xml:space="preserve"> </v>
      </c>
      <c r="S116" s="15" t="str">
        <f t="shared" si="373"/>
        <v xml:space="preserve"> </v>
      </c>
      <c r="T116" s="20" t="str">
        <f t="shared" si="374"/>
        <v/>
      </c>
      <c r="U116" s="40" t="str">
        <f t="shared" si="375"/>
        <v/>
      </c>
      <c r="V116" s="109"/>
      <c r="W116" s="82">
        <v>25</v>
      </c>
      <c r="X116" s="20" t="str">
        <f>IFERROR(($N$26-N116)/W116,"")</f>
        <v/>
      </c>
      <c r="Y116" s="15" t="str">
        <f>IFERROR(($O$26-O116)/W116,"")</f>
        <v/>
      </c>
      <c r="Z116" s="15" t="str">
        <f>IFERROR(($P$26-P116)/W116,"")</f>
        <v/>
      </c>
      <c r="AA116" s="15" t="str">
        <f>IFERROR(($Q$17-Q116)/W116,"")</f>
        <v/>
      </c>
      <c r="AB116" s="15" t="str">
        <f>IFERROR(($R$26-R116)/W116,"")</f>
        <v/>
      </c>
      <c r="AC116" s="15" t="str">
        <f>IFERROR(($S$26-S116)/W116,"")</f>
        <v/>
      </c>
      <c r="AD116" s="20" t="str">
        <f t="shared" ref="AD116:AD119" si="395">IFERROR(AVERAGE(X116:AC116), "")</f>
        <v/>
      </c>
      <c r="AE116" s="40" t="str">
        <f t="shared" ref="AE116:AE120" si="396">IFERROR(STDEV(X116:AC116), "")</f>
        <v/>
      </c>
      <c r="AG116" s="229"/>
      <c r="AH116" s="77">
        <f>'Sample ID'!$F$17</f>
        <v>0</v>
      </c>
      <c r="AI116" s="77" t="str">
        <f>IFERROR((X116*$AH$44),"")</f>
        <v/>
      </c>
      <c r="AJ116" s="77" t="str">
        <f t="shared" ref="AJ116" si="397">IFERROR((Y116*$AH$44),"")</f>
        <v/>
      </c>
      <c r="AK116" s="77" t="str">
        <f t="shared" ref="AK116" si="398">IFERROR((Z116*$AH$44),"")</f>
        <v/>
      </c>
      <c r="AL116" s="77" t="str">
        <f t="shared" ref="AL116" si="399">IFERROR((AA116*$AH$44),"")</f>
        <v/>
      </c>
      <c r="AM116" s="77" t="str">
        <f t="shared" ref="AM116" si="400">IFERROR((AB116*$AH$44),"")</f>
        <v/>
      </c>
      <c r="AN116" s="77" t="str">
        <f t="shared" ref="AN116" si="401">IFERROR((AC116*$AH$44),"")</f>
        <v/>
      </c>
      <c r="AO116" s="40" t="str">
        <f t="shared" si="389"/>
        <v/>
      </c>
      <c r="AP116" s="40" t="str">
        <f t="shared" ref="AP116:AP120" si="402">IFERROR(STDEV(AI116:AN116), "")</f>
        <v/>
      </c>
      <c r="AQ116" s="15"/>
      <c r="AR116" s="15"/>
    </row>
    <row r="117" spans="3:44">
      <c r="C117" s="199"/>
      <c r="D117" s="14" t="s">
        <v>20</v>
      </c>
      <c r="E117" s="15">
        <f>Data!H79</f>
        <v>0</v>
      </c>
      <c r="F117" s="15">
        <f>Data!I79</f>
        <v>0</v>
      </c>
      <c r="G117" s="15">
        <f>Data!J79</f>
        <v>0</v>
      </c>
      <c r="H117" s="15">
        <f>Data!K79</f>
        <v>0</v>
      </c>
      <c r="I117" s="15">
        <f>Data!L79</f>
        <v>0</v>
      </c>
      <c r="J117" s="15">
        <f>Data!M79</f>
        <v>0</v>
      </c>
      <c r="K117" s="15"/>
      <c r="L117" s="199"/>
      <c r="M117" s="129" t="s">
        <v>20</v>
      </c>
      <c r="N117" s="15" t="str">
        <f t="shared" si="373"/>
        <v xml:space="preserve"> </v>
      </c>
      <c r="O117" s="15" t="str">
        <f t="shared" si="373"/>
        <v xml:space="preserve"> </v>
      </c>
      <c r="P117" s="15" t="str">
        <f t="shared" si="373"/>
        <v xml:space="preserve"> </v>
      </c>
      <c r="Q117" s="15" t="str">
        <f t="shared" si="373"/>
        <v xml:space="preserve"> </v>
      </c>
      <c r="R117" s="15" t="str">
        <f t="shared" si="373"/>
        <v xml:space="preserve"> </v>
      </c>
      <c r="S117" s="15" t="str">
        <f t="shared" si="373"/>
        <v xml:space="preserve"> </v>
      </c>
      <c r="T117" s="20" t="str">
        <f t="shared" si="374"/>
        <v/>
      </c>
      <c r="U117" s="40" t="str">
        <f t="shared" si="375"/>
        <v/>
      </c>
      <c r="V117" s="109"/>
      <c r="W117" s="82">
        <v>25</v>
      </c>
      <c r="X117" s="20" t="str">
        <f>IFERROR(($N$27-N117)/W117,"")</f>
        <v/>
      </c>
      <c r="Y117" s="15" t="str">
        <f>IFERROR(($O$27-O117)/W117,"")</f>
        <v/>
      </c>
      <c r="Z117" s="15" t="str">
        <f>IFERROR(($P$27-P117)/W117,"")</f>
        <v/>
      </c>
      <c r="AA117" s="15" t="str">
        <f>IFERROR(($Q$18-Q117)/W117,"")</f>
        <v/>
      </c>
      <c r="AB117" s="15" t="str">
        <f>IFERROR(($R$27-R117)/W117,"")</f>
        <v/>
      </c>
      <c r="AC117" s="15" t="str">
        <f>IFERROR(($S$27-S117)/W117,"")</f>
        <v/>
      </c>
      <c r="AD117" s="20" t="str">
        <f t="shared" si="395"/>
        <v/>
      </c>
      <c r="AE117" s="40" t="str">
        <f t="shared" si="396"/>
        <v/>
      </c>
      <c r="AG117" s="229"/>
      <c r="AH117" s="77">
        <f>'Sample ID'!$F$18</f>
        <v>0</v>
      </c>
      <c r="AI117" s="77" t="str">
        <f>IFERROR((X117*$AH$45),"")</f>
        <v/>
      </c>
      <c r="AJ117" s="77" t="str">
        <f t="shared" ref="AJ117" si="403">IFERROR((Y117*$AH$45),"")</f>
        <v/>
      </c>
      <c r="AK117" s="77" t="str">
        <f t="shared" ref="AK117" si="404">IFERROR((Z117*$AH$45),"")</f>
        <v/>
      </c>
      <c r="AL117" s="77" t="str">
        <f t="shared" ref="AL117" si="405">IFERROR((AA117*$AH$45),"")</f>
        <v/>
      </c>
      <c r="AM117" s="77" t="str">
        <f t="shared" ref="AM117" si="406">IFERROR((AB117*$AH$45),"")</f>
        <v/>
      </c>
      <c r="AN117" s="77" t="str">
        <f t="shared" ref="AN117" si="407">IFERROR((AC117*$AH$45),"")</f>
        <v/>
      </c>
      <c r="AO117" s="40" t="str">
        <f t="shared" si="389"/>
        <v/>
      </c>
      <c r="AP117" s="40" t="str">
        <f t="shared" si="402"/>
        <v/>
      </c>
      <c r="AQ117" s="15"/>
      <c r="AR117" s="15"/>
    </row>
    <row r="118" spans="3:44">
      <c r="C118" s="199"/>
      <c r="D118" s="14" t="s">
        <v>21</v>
      </c>
      <c r="E118" s="15">
        <f>Data!H80</f>
        <v>0</v>
      </c>
      <c r="F118" s="15">
        <f>Data!I80</f>
        <v>0</v>
      </c>
      <c r="G118" s="15">
        <f>Data!J80</f>
        <v>0</v>
      </c>
      <c r="H118" s="15">
        <f>Data!K80</f>
        <v>0</v>
      </c>
      <c r="I118" s="15">
        <f>Data!L80</f>
        <v>0</v>
      </c>
      <c r="J118" s="15">
        <f>Data!M80</f>
        <v>0</v>
      </c>
      <c r="K118" s="15"/>
      <c r="L118" s="199"/>
      <c r="M118" s="129" t="s">
        <v>21</v>
      </c>
      <c r="N118" s="15" t="str">
        <f t="shared" si="373"/>
        <v xml:space="preserve"> </v>
      </c>
      <c r="O118" s="15" t="str">
        <f t="shared" si="373"/>
        <v xml:space="preserve"> </v>
      </c>
      <c r="P118" s="15" t="str">
        <f t="shared" si="373"/>
        <v xml:space="preserve"> </v>
      </c>
      <c r="Q118" s="15" t="str">
        <f t="shared" si="373"/>
        <v xml:space="preserve"> </v>
      </c>
      <c r="R118" s="15" t="str">
        <f t="shared" si="373"/>
        <v xml:space="preserve"> </v>
      </c>
      <c r="S118" s="15" t="str">
        <f t="shared" si="373"/>
        <v xml:space="preserve"> </v>
      </c>
      <c r="T118" s="20" t="str">
        <f t="shared" si="374"/>
        <v/>
      </c>
      <c r="U118" s="40" t="str">
        <f t="shared" si="375"/>
        <v/>
      </c>
      <c r="V118" s="109"/>
      <c r="W118" s="82">
        <v>25</v>
      </c>
      <c r="X118" s="20" t="str">
        <f>IFERROR(($N$28-N118)/W118,"")</f>
        <v/>
      </c>
      <c r="Y118" s="15" t="str">
        <f>IFERROR(($O$28-O118)/W118,"")</f>
        <v/>
      </c>
      <c r="Z118" s="15" t="str">
        <f>IFERROR(($P$28-P118)/W118,"")</f>
        <v/>
      </c>
      <c r="AA118" s="15" t="str">
        <f>IFERROR(($Q$19-Q118)/W118,"")</f>
        <v/>
      </c>
      <c r="AB118" s="15" t="str">
        <f>IFERROR(($R$28-R118)/W118,"")</f>
        <v/>
      </c>
      <c r="AC118" s="15" t="str">
        <f>IFERROR(($S$28-S118)/W118,"")</f>
        <v/>
      </c>
      <c r="AD118" s="20" t="str">
        <f t="shared" si="395"/>
        <v/>
      </c>
      <c r="AE118" s="40" t="str">
        <f t="shared" si="396"/>
        <v/>
      </c>
      <c r="AG118" s="229"/>
      <c r="AH118" s="77">
        <f>'Sample ID'!$F$19</f>
        <v>0</v>
      </c>
      <c r="AI118" s="77" t="str">
        <f>IFERROR((X118*$AH$46),"")</f>
        <v/>
      </c>
      <c r="AJ118" s="77" t="str">
        <f t="shared" ref="AJ118" si="408">IFERROR((Y118*$AH$46),"")</f>
        <v/>
      </c>
      <c r="AK118" s="77" t="str">
        <f t="shared" ref="AK118" si="409">IFERROR((Z118*$AH$46),"")</f>
        <v/>
      </c>
      <c r="AL118" s="77" t="str">
        <f t="shared" ref="AL118" si="410">IFERROR((AA118*$AH$46),"")</f>
        <v/>
      </c>
      <c r="AM118" s="77" t="str">
        <f t="shared" ref="AM118" si="411">IFERROR((AB118*$AH$46),"")</f>
        <v/>
      </c>
      <c r="AN118" s="77" t="str">
        <f t="shared" ref="AN118" si="412">IFERROR((AC118*$AH$46),"")</f>
        <v/>
      </c>
      <c r="AO118" s="40" t="str">
        <f t="shared" si="389"/>
        <v/>
      </c>
      <c r="AP118" s="40" t="str">
        <f t="shared" si="402"/>
        <v/>
      </c>
      <c r="AQ118" s="15"/>
      <c r="AR118" s="15"/>
    </row>
    <row r="119" spans="3:44">
      <c r="C119" s="199"/>
      <c r="D119" s="14" t="s">
        <v>22</v>
      </c>
      <c r="E119" s="15">
        <f>Data!H81</f>
        <v>0</v>
      </c>
      <c r="F119" s="15">
        <f>Data!I81</f>
        <v>0</v>
      </c>
      <c r="G119" s="15">
        <f>Data!J81</f>
        <v>0</v>
      </c>
      <c r="H119" s="15">
        <f>Data!K81</f>
        <v>0</v>
      </c>
      <c r="I119" s="15">
        <f>Data!L81</f>
        <v>0</v>
      </c>
      <c r="J119" s="15">
        <f>Data!M81</f>
        <v>0</v>
      </c>
      <c r="K119" s="15"/>
      <c r="L119" s="199"/>
      <c r="M119" s="129" t="s">
        <v>22</v>
      </c>
      <c r="N119" s="15" t="str">
        <f t="shared" si="373"/>
        <v xml:space="preserve"> </v>
      </c>
      <c r="O119" s="15" t="str">
        <f t="shared" si="373"/>
        <v xml:space="preserve"> </v>
      </c>
      <c r="P119" s="15" t="str">
        <f t="shared" si="373"/>
        <v xml:space="preserve"> </v>
      </c>
      <c r="Q119" s="15" t="str">
        <f t="shared" si="373"/>
        <v xml:space="preserve"> </v>
      </c>
      <c r="R119" s="15" t="str">
        <f t="shared" si="373"/>
        <v xml:space="preserve"> </v>
      </c>
      <c r="S119" s="15" t="str">
        <f t="shared" si="373"/>
        <v xml:space="preserve"> </v>
      </c>
      <c r="T119" s="20" t="str">
        <f t="shared" si="374"/>
        <v/>
      </c>
      <c r="U119" s="40" t="str">
        <f t="shared" si="375"/>
        <v/>
      </c>
      <c r="V119" s="109"/>
      <c r="W119" s="82">
        <v>25</v>
      </c>
      <c r="X119" s="20" t="str">
        <f>IFERROR(($N$29-N119)/W119,"")</f>
        <v/>
      </c>
      <c r="Y119" s="15" t="str">
        <f>IFERROR(($O$29-O119)/W119,"")</f>
        <v/>
      </c>
      <c r="Z119" s="15" t="str">
        <f>IFERROR(($P$29-P119)/W119,"")</f>
        <v/>
      </c>
      <c r="AA119" s="15" t="str">
        <f>IFERROR(($Q$20-Q119)/W119,"")</f>
        <v/>
      </c>
      <c r="AB119" s="15" t="str">
        <f>IFERROR(($R$29-R119)/W119,"")</f>
        <v/>
      </c>
      <c r="AC119" s="15" t="str">
        <f>IFERROR(($S$29-S119)/W119,"")</f>
        <v/>
      </c>
      <c r="AD119" s="20" t="str">
        <f t="shared" si="395"/>
        <v/>
      </c>
      <c r="AE119" s="40" t="str">
        <f t="shared" si="396"/>
        <v/>
      </c>
      <c r="AG119" s="229"/>
      <c r="AH119" s="77">
        <f>'Sample ID'!$F$20</f>
        <v>0</v>
      </c>
      <c r="AI119" s="77" t="str">
        <f>IFERROR((X119*$AH$47),"")</f>
        <v/>
      </c>
      <c r="AJ119" s="77" t="str">
        <f t="shared" ref="AJ119" si="413">IFERROR((Y119*$AH$47),"")</f>
        <v/>
      </c>
      <c r="AK119" s="77" t="str">
        <f t="shared" ref="AK119" si="414">IFERROR((Z119*$AH$47),"")</f>
        <v/>
      </c>
      <c r="AL119" s="77" t="str">
        <f t="shared" ref="AL119" si="415">IFERROR((AA119*$AH$47),"")</f>
        <v/>
      </c>
      <c r="AM119" s="77" t="str">
        <f t="shared" ref="AM119" si="416">IFERROR((AB119*$AH$47),"")</f>
        <v/>
      </c>
      <c r="AN119" s="77" t="str">
        <f t="shared" ref="AN119" si="417">IFERROR((AC119*$AH$47),"")</f>
        <v/>
      </c>
      <c r="AO119" s="40" t="str">
        <f t="shared" si="389"/>
        <v/>
      </c>
      <c r="AP119" s="40" t="str">
        <f t="shared" si="402"/>
        <v/>
      </c>
      <c r="AQ119" s="15"/>
      <c r="AR119" s="15"/>
    </row>
    <row r="120" spans="3:44">
      <c r="C120" s="199"/>
      <c r="D120" s="14" t="s">
        <v>23</v>
      </c>
      <c r="E120" s="15">
        <f>Data!H82</f>
        <v>0</v>
      </c>
      <c r="F120" s="15">
        <f>Data!I82</f>
        <v>0</v>
      </c>
      <c r="G120" s="15">
        <f>Data!J82</f>
        <v>0</v>
      </c>
      <c r="H120" s="15">
        <f>Data!K82</f>
        <v>0</v>
      </c>
      <c r="I120" s="15">
        <f>Data!L82</f>
        <v>0</v>
      </c>
      <c r="J120" s="15">
        <f>Data!M82</f>
        <v>0</v>
      </c>
      <c r="K120" s="15"/>
      <c r="L120" s="199"/>
      <c r="M120" s="129" t="s">
        <v>23</v>
      </c>
      <c r="N120" s="15" t="str">
        <f t="shared" si="373"/>
        <v xml:space="preserve"> </v>
      </c>
      <c r="O120" s="15" t="str">
        <f t="shared" si="373"/>
        <v xml:space="preserve"> </v>
      </c>
      <c r="P120" s="15" t="str">
        <f t="shared" si="373"/>
        <v xml:space="preserve"> </v>
      </c>
      <c r="Q120" s="15" t="str">
        <f t="shared" si="373"/>
        <v xml:space="preserve"> </v>
      </c>
      <c r="R120" s="15" t="str">
        <f t="shared" si="373"/>
        <v xml:space="preserve"> </v>
      </c>
      <c r="S120" s="15" t="str">
        <f t="shared" si="373"/>
        <v xml:space="preserve"> </v>
      </c>
      <c r="T120" s="20" t="str">
        <f t="shared" si="374"/>
        <v/>
      </c>
      <c r="U120" s="40" t="str">
        <f t="shared" si="375"/>
        <v/>
      </c>
      <c r="V120" s="109"/>
      <c r="W120" s="82">
        <v>25</v>
      </c>
      <c r="X120" s="20" t="str">
        <f>IFERROR(($N$30-N120)/W120,"")</f>
        <v/>
      </c>
      <c r="Y120" s="15" t="str">
        <f>IFERROR(($O$30-O120)/W120,"")</f>
        <v/>
      </c>
      <c r="Z120" s="15" t="str">
        <f>IFERROR(($P$30-P120)/W120,"")</f>
        <v/>
      </c>
      <c r="AA120" s="15" t="str">
        <f>IFERROR(($Q$21-Q120)/W120,"")</f>
        <v/>
      </c>
      <c r="AB120" s="17" t="str">
        <f>IFERROR(($R$30-R120)/W120,"")</f>
        <v/>
      </c>
      <c r="AC120" s="15" t="str">
        <f>IFERROR(($S$30-S120)/W120,"")</f>
        <v/>
      </c>
      <c r="AD120" s="20" t="str">
        <f>IFERROR(AVERAGE(X120:AC120), "")</f>
        <v/>
      </c>
      <c r="AE120" s="40" t="str">
        <f t="shared" si="396"/>
        <v/>
      </c>
      <c r="AG120" s="230"/>
      <c r="AH120" s="77">
        <f>'Sample ID'!$F$21</f>
        <v>0</v>
      </c>
      <c r="AI120" s="77" t="str">
        <f>IFERROR((X120*$AH$48),"")</f>
        <v/>
      </c>
      <c r="AJ120" s="77" t="str">
        <f t="shared" ref="AJ120" si="418">IFERROR((Y120*$AH$48),"")</f>
        <v/>
      </c>
      <c r="AK120" s="77" t="str">
        <f t="shared" ref="AK120" si="419">IFERROR((Z120*$AH$48),"")</f>
        <v/>
      </c>
      <c r="AL120" s="77" t="str">
        <f t="shared" ref="AL120" si="420">IFERROR((AA120*$AH$48),"")</f>
        <v/>
      </c>
      <c r="AM120" s="77" t="str">
        <f t="shared" ref="AM120" si="421">IFERROR((AB120*$AH$48),"")</f>
        <v/>
      </c>
      <c r="AN120" s="77" t="str">
        <f t="shared" ref="AN120" si="422">IFERROR((AC120*$AH$48),"")</f>
        <v/>
      </c>
      <c r="AO120" s="40" t="str">
        <f t="shared" si="389"/>
        <v/>
      </c>
      <c r="AP120" s="40" t="str">
        <f t="shared" si="402"/>
        <v/>
      </c>
      <c r="AQ120" s="15"/>
      <c r="AR120" s="15"/>
    </row>
    <row r="121" spans="3:44">
      <c r="C121" s="199">
        <v>30</v>
      </c>
      <c r="D121" s="50"/>
      <c r="E121" s="58">
        <v>1</v>
      </c>
      <c r="F121" s="58">
        <v>2</v>
      </c>
      <c r="G121" s="59">
        <v>3</v>
      </c>
      <c r="H121" s="56">
        <v>4</v>
      </c>
      <c r="I121" s="56">
        <v>5</v>
      </c>
      <c r="J121" s="57">
        <v>6</v>
      </c>
      <c r="K121" s="19"/>
      <c r="L121" s="199">
        <v>30</v>
      </c>
      <c r="M121" s="38"/>
      <c r="N121" s="59">
        <v>1</v>
      </c>
      <c r="O121" s="38">
        <v>2</v>
      </c>
      <c r="P121" s="38">
        <v>3</v>
      </c>
      <c r="Q121" s="38">
        <v>4</v>
      </c>
      <c r="R121" s="38">
        <v>5</v>
      </c>
      <c r="S121" s="50">
        <v>6</v>
      </c>
      <c r="T121" s="38" t="s">
        <v>24</v>
      </c>
      <c r="U121" s="51" t="s">
        <v>3</v>
      </c>
      <c r="V121" s="109"/>
      <c r="W121" s="38" t="s">
        <v>34</v>
      </c>
      <c r="X121" s="38">
        <v>1</v>
      </c>
      <c r="Y121" s="38">
        <v>2</v>
      </c>
      <c r="Z121" s="38">
        <v>3</v>
      </c>
      <c r="AA121" s="38">
        <v>4</v>
      </c>
      <c r="AB121" s="38">
        <v>5</v>
      </c>
      <c r="AC121" s="50">
        <v>6</v>
      </c>
      <c r="AD121" s="50" t="s">
        <v>49</v>
      </c>
      <c r="AE121" s="51" t="s">
        <v>3</v>
      </c>
      <c r="AF121" s="69"/>
      <c r="AG121" s="231">
        <v>30</v>
      </c>
      <c r="AH121" s="38" t="s">
        <v>35</v>
      </c>
      <c r="AI121" s="38"/>
      <c r="AJ121" s="38"/>
      <c r="AK121" s="38"/>
      <c r="AL121" s="38"/>
      <c r="AM121" s="38"/>
      <c r="AN121" s="38"/>
      <c r="AO121" s="52" t="s">
        <v>36</v>
      </c>
      <c r="AP121" s="51" t="s">
        <v>3</v>
      </c>
      <c r="AQ121" s="15"/>
      <c r="AR121" s="15"/>
    </row>
    <row r="122" spans="3:44">
      <c r="C122" s="199"/>
      <c r="D122" s="14" t="s">
        <v>16</v>
      </c>
      <c r="E122" s="15">
        <f>Data!B87</f>
        <v>1.9350000000000001</v>
      </c>
      <c r="F122" s="15">
        <f>Data!C87</f>
        <v>1.9179999999999999</v>
      </c>
      <c r="G122" s="15">
        <f>Data!D87</f>
        <v>1.952</v>
      </c>
      <c r="H122" s="15">
        <f>Data!E87</f>
        <v>1.9350000000000001</v>
      </c>
      <c r="I122" s="15">
        <f>Data!F87</f>
        <v>1.9179999999999999</v>
      </c>
      <c r="J122" s="15">
        <f>Data!G87</f>
        <v>1.952</v>
      </c>
      <c r="K122" s="15"/>
      <c r="L122" s="199"/>
      <c r="M122" s="129" t="s">
        <v>16</v>
      </c>
      <c r="N122" s="15">
        <f t="shared" ref="N122:S129" si="423">IF(((E122-$P$11)/$P$10)&gt;0,((E122-$P$11)/$P$10)," ")</f>
        <v>1.6963170223841753</v>
      </c>
      <c r="O122" s="15">
        <f t="shared" si="423"/>
        <v>1.679724102030193</v>
      </c>
      <c r="P122" s="15">
        <f t="shared" si="423"/>
        <v>1.7129099427381576</v>
      </c>
      <c r="Q122" s="15">
        <f t="shared" si="423"/>
        <v>1.6963170223841753</v>
      </c>
      <c r="R122" s="15">
        <f t="shared" si="423"/>
        <v>1.679724102030193</v>
      </c>
      <c r="S122" s="15">
        <f t="shared" si="423"/>
        <v>1.7129099427381576</v>
      </c>
      <c r="T122" s="20">
        <f t="shared" si="374"/>
        <v>1.6963170223841753</v>
      </c>
      <c r="U122" s="40">
        <f>IFERROR(STDEV(N122:S122),"")</f>
        <v>1.4841159142697716E-2</v>
      </c>
      <c r="V122" s="109"/>
      <c r="W122" s="82">
        <v>30</v>
      </c>
      <c r="X122" s="20">
        <f>IFERROR(($N$14-N122)/W122,"")</f>
        <v>1.171264966163458E-3</v>
      </c>
      <c r="Y122" s="15">
        <f>IFERROR(($O$14-O122)/W122,"")</f>
        <v>1.6918271733472156E-3</v>
      </c>
      <c r="Z122" s="15">
        <f>IFERROR(($P$14-P122)/W122,"")</f>
        <v>1.5291514836022941E-3</v>
      </c>
      <c r="AA122" s="15">
        <f>IFERROR(($Q$14-Q122)/W122,"")</f>
        <v>1.171264966163458E-3</v>
      </c>
      <c r="AB122" s="15">
        <f>IFERROR(($R$14-R122)/W122,"")</f>
        <v>1.6918271733472156E-3</v>
      </c>
      <c r="AC122" s="15">
        <f>IFERROR(($S$14-S122)/W122,"")</f>
        <v>1.5291514836022941E-3</v>
      </c>
      <c r="AD122" s="20">
        <f>IFERROR(AVERAGE(X122:AC122), "")</f>
        <v>1.4640812077043226E-3</v>
      </c>
      <c r="AE122" s="40">
        <f>IFERROR(STDEV(X122:AC122), "")</f>
        <v>2.3819631985584486E-4</v>
      </c>
      <c r="AG122" s="229"/>
      <c r="AH122" s="76">
        <f>'Sample ID'!$F$6</f>
        <v>1</v>
      </c>
      <c r="AI122" s="77">
        <f>IFERROR((X122*$AH$32),"")</f>
        <v>1.171264966163458E-3</v>
      </c>
      <c r="AJ122" s="77">
        <f t="shared" ref="AJ122" si="424">IFERROR((Y122*$AH$32),"")</f>
        <v>1.6918271733472156E-3</v>
      </c>
      <c r="AK122" s="77">
        <f t="shared" ref="AK122" si="425">IFERROR((Z122*$AH$32),"")</f>
        <v>1.5291514836022941E-3</v>
      </c>
      <c r="AL122" s="77">
        <f t="shared" ref="AL122" si="426">IFERROR((AA122*$AH$32),"")</f>
        <v>1.171264966163458E-3</v>
      </c>
      <c r="AM122" s="77">
        <f t="shared" ref="AM122" si="427">IFERROR((AB122*$AH$32),"")</f>
        <v>1.6918271733472156E-3</v>
      </c>
      <c r="AN122" s="77">
        <f t="shared" ref="AN122" si="428">IFERROR((AC122*$AH$32),"")</f>
        <v>1.5291514836022941E-3</v>
      </c>
      <c r="AO122" s="40">
        <f>IFERROR(AVERAGE(AI122:AN122),"")</f>
        <v>1.4640812077043226E-3</v>
      </c>
      <c r="AP122" s="40">
        <f>IFERROR(STDEV(AI122:AN122), "")</f>
        <v>2.3819631985584486E-4</v>
      </c>
      <c r="AQ122" s="15"/>
      <c r="AR122" s="15"/>
    </row>
    <row r="123" spans="3:44">
      <c r="C123" s="199"/>
      <c r="D123" s="14" t="s">
        <v>17</v>
      </c>
      <c r="E123" s="15">
        <f>Data!B88</f>
        <v>1.988</v>
      </c>
      <c r="F123" s="15">
        <f>Data!C88</f>
        <v>1.998</v>
      </c>
      <c r="G123" s="15">
        <f>Data!D88</f>
        <v>2.0030000000000001</v>
      </c>
      <c r="H123" s="15">
        <f>Data!E88</f>
        <v>1.988</v>
      </c>
      <c r="I123" s="15">
        <f>Data!F88</f>
        <v>1.998</v>
      </c>
      <c r="J123" s="15">
        <f>Data!G88</f>
        <v>2.0030000000000001</v>
      </c>
      <c r="K123" s="15"/>
      <c r="L123" s="199"/>
      <c r="M123" s="129" t="s">
        <v>17</v>
      </c>
      <c r="N123" s="15">
        <f t="shared" si="423"/>
        <v>1.7480478917230613</v>
      </c>
      <c r="O123" s="15">
        <f t="shared" si="423"/>
        <v>1.7578084331077568</v>
      </c>
      <c r="P123" s="15">
        <f t="shared" si="423"/>
        <v>1.7626887038001047</v>
      </c>
      <c r="Q123" s="15">
        <f t="shared" si="423"/>
        <v>1.7480478917230613</v>
      </c>
      <c r="R123" s="15">
        <f t="shared" si="423"/>
        <v>1.7578084331077568</v>
      </c>
      <c r="S123" s="15">
        <f t="shared" si="423"/>
        <v>1.7626887038001047</v>
      </c>
      <c r="T123" s="20">
        <f t="shared" si="374"/>
        <v>1.7561816762103077</v>
      </c>
      <c r="U123" s="40">
        <f t="shared" si="375"/>
        <v>6.6677191345391107E-3</v>
      </c>
      <c r="V123" s="109"/>
      <c r="W123" s="82">
        <v>30</v>
      </c>
      <c r="X123" s="20">
        <f>IFERROR(($N$15-N123)/W123,"")</f>
        <v>-8.1337844872462204E-4</v>
      </c>
      <c r="Y123" s="15">
        <f>IFERROR(($O$15-O123)/W123,"")</f>
        <v>-1.2363352420614296E-3</v>
      </c>
      <c r="Z123" s="15">
        <f>IFERROR(($P$15-P123)/W123,"")</f>
        <v>-1.0085892764185368E-3</v>
      </c>
      <c r="AA123" s="15">
        <f>IFERROR(($Q$15-Q123)/W123,"")</f>
        <v>-8.1337844872462204E-4</v>
      </c>
      <c r="AB123" s="15">
        <f>IFERROR(($R$15-R123)/W123,"")</f>
        <v>-1.2363352420614296E-3</v>
      </c>
      <c r="AC123" s="15">
        <f>IFERROR(($S$15-S123)/W123,"")</f>
        <v>-1.0085892764185368E-3</v>
      </c>
      <c r="AD123" s="20">
        <f>IFERROR(AVERAGE(X123:AC123), "")</f>
        <v>-1.0194343224015296E-3</v>
      </c>
      <c r="AE123" s="40">
        <f>IFERROR(STDEV(X123:AC123), "")</f>
        <v>1.893384768592346E-4</v>
      </c>
      <c r="AG123" s="229"/>
      <c r="AH123" s="77">
        <f>'Sample ID'!$F$7</f>
        <v>1</v>
      </c>
      <c r="AI123" s="77">
        <f>IFERROR((X123*$AH$33),"")</f>
        <v>-8.1337844872462204E-4</v>
      </c>
      <c r="AJ123" s="77">
        <f t="shared" ref="AJ123" si="429">IFERROR((Y123*$AH$33),"")</f>
        <v>-1.2363352420614296E-3</v>
      </c>
      <c r="AK123" s="77">
        <f t="shared" ref="AK123" si="430">IFERROR((Z123*$AH$33),"")</f>
        <v>-1.0085892764185368E-3</v>
      </c>
      <c r="AL123" s="77">
        <f t="shared" ref="AL123" si="431">IFERROR((AA123*$AH$33),"")</f>
        <v>-8.1337844872462204E-4</v>
      </c>
      <c r="AM123" s="77">
        <f t="shared" ref="AM123" si="432">IFERROR((AB123*$AH$33),"")</f>
        <v>-1.2363352420614296E-3</v>
      </c>
      <c r="AN123" s="77">
        <f t="shared" ref="AN123" si="433">IFERROR((AC123*$AH$33),"")</f>
        <v>-1.0085892764185368E-3</v>
      </c>
      <c r="AO123" s="40">
        <f t="shared" ref="AO123:AO129" si="434">IFERROR(AVERAGE(AI123:AN123),"")</f>
        <v>-1.0194343224015296E-3</v>
      </c>
      <c r="AP123" s="40">
        <f>IFERROR(STDEV(AI123:AN123), "")</f>
        <v>1.893384768592346E-4</v>
      </c>
      <c r="AQ123" s="15"/>
      <c r="AR123" s="15"/>
    </row>
    <row r="124" spans="3:44">
      <c r="C124" s="199"/>
      <c r="D124" s="14" t="s">
        <v>18</v>
      </c>
      <c r="E124" s="15">
        <f>Data!B89</f>
        <v>2.0030000000000001</v>
      </c>
      <c r="F124" s="15">
        <f>Data!C89</f>
        <v>2.0139999999999998</v>
      </c>
      <c r="G124" s="15">
        <f>Data!D89</f>
        <v>2.0249999999999999</v>
      </c>
      <c r="H124" s="15">
        <f>Data!E89</f>
        <v>2.0030000000000001</v>
      </c>
      <c r="I124" s="15">
        <f>Data!F89</f>
        <v>2.0139999999999998</v>
      </c>
      <c r="J124" s="15">
        <f>Data!G89</f>
        <v>2.0249999999999999</v>
      </c>
      <c r="K124" s="15"/>
      <c r="L124" s="199"/>
      <c r="M124" s="129" t="s">
        <v>18</v>
      </c>
      <c r="N124" s="15">
        <f t="shared" si="423"/>
        <v>1.7626887038001047</v>
      </c>
      <c r="O124" s="15">
        <f t="shared" si="423"/>
        <v>1.7734252993232693</v>
      </c>
      <c r="P124" s="15">
        <f t="shared" si="423"/>
        <v>1.7841618948464344</v>
      </c>
      <c r="Q124" s="15">
        <f t="shared" si="423"/>
        <v>1.7626887038001047</v>
      </c>
      <c r="R124" s="15">
        <f t="shared" si="423"/>
        <v>1.7734252993232693</v>
      </c>
      <c r="S124" s="15">
        <f t="shared" si="423"/>
        <v>1.7841618948464344</v>
      </c>
      <c r="T124" s="20">
        <f t="shared" si="374"/>
        <v>1.7734252993232695</v>
      </c>
      <c r="U124" s="40">
        <f t="shared" si="375"/>
        <v>9.6031029746866184E-3</v>
      </c>
      <c r="V124" s="109"/>
      <c r="W124" s="82">
        <v>30</v>
      </c>
      <c r="X124" s="20">
        <f>IFERROR(($N$16-N124)/W124,"")</f>
        <v>-7.8084331077564364E-4</v>
      </c>
      <c r="Y124" s="15">
        <f>IFERROR(($O$16-O124)/W124,"")</f>
        <v>-4.5549193128577856E-4</v>
      </c>
      <c r="Z124" s="15">
        <f>IFERROR(($P$16-P124)/W124,"")</f>
        <v>6.5070275897978941E-5</v>
      </c>
      <c r="AA124" s="15">
        <f>IFERROR(($Q$16-Q124)/W124,"")</f>
        <v>-7.8084331077564364E-4</v>
      </c>
      <c r="AB124" s="15">
        <f>IFERROR(($R$16-R124)/W124,"")</f>
        <v>-4.5549193128577856E-4</v>
      </c>
      <c r="AC124" s="15">
        <f>IFERROR(($S$16-S124)/W124,"")</f>
        <v>6.5070275897978941E-5</v>
      </c>
      <c r="AD124" s="20">
        <f>IFERROR(AVERAGE(X124:AC124), "")</f>
        <v>-3.9042165538781445E-4</v>
      </c>
      <c r="AE124" s="40">
        <f t="shared" ref="AE124:AE129" si="435">IFERROR(STDEV(X124:AC124), "")</f>
        <v>3.8164701453970368E-4</v>
      </c>
      <c r="AG124" s="229"/>
      <c r="AH124" s="77">
        <f>'Sample ID'!$F$8</f>
        <v>1</v>
      </c>
      <c r="AI124" s="77">
        <f>IFERROR((X124*$AH$34),"")</f>
        <v>-7.8084331077564364E-4</v>
      </c>
      <c r="AJ124" s="77">
        <f t="shared" ref="AJ124" si="436">IFERROR((Y124*$AH$34),"")</f>
        <v>-4.5549193128577856E-4</v>
      </c>
      <c r="AK124" s="77">
        <f t="shared" ref="AK124" si="437">IFERROR((Z124*$AH$34),"")</f>
        <v>6.5070275897978941E-5</v>
      </c>
      <c r="AL124" s="77">
        <f t="shared" ref="AL124" si="438">IFERROR((AA124*$AH$34),"")</f>
        <v>-7.8084331077564364E-4</v>
      </c>
      <c r="AM124" s="77">
        <f t="shared" ref="AM124" si="439">IFERROR((AB124*$AH$34),"")</f>
        <v>-4.5549193128577856E-4</v>
      </c>
      <c r="AN124" s="77">
        <f t="shared" ref="AN124" si="440">IFERROR((AC124*$AH$34),"")</f>
        <v>6.5070275897978941E-5</v>
      </c>
      <c r="AO124" s="40">
        <f t="shared" si="434"/>
        <v>-3.9042165538781445E-4</v>
      </c>
      <c r="AP124" s="40">
        <f t="shared" ref="AP124:AP129" si="441">IFERROR(STDEV(AI124:AN124), "")</f>
        <v>3.8164701453970368E-4</v>
      </c>
      <c r="AQ124" s="15"/>
      <c r="AR124" s="15"/>
    </row>
    <row r="125" spans="3:44">
      <c r="C125" s="199"/>
      <c r="D125" s="14" t="s">
        <v>19</v>
      </c>
      <c r="E125" s="15">
        <f>Data!B90</f>
        <v>2.238</v>
      </c>
      <c r="F125" s="15">
        <f>Data!C90</f>
        <v>2.254</v>
      </c>
      <c r="G125" s="15">
        <f>Data!D90</f>
        <v>2.2440000000000002</v>
      </c>
      <c r="H125" s="15">
        <f>Data!E90</f>
        <v>2.238</v>
      </c>
      <c r="I125" s="15">
        <f>Data!F90</f>
        <v>2.254</v>
      </c>
      <c r="J125" s="15">
        <f>Data!G90</f>
        <v>2.2440000000000002</v>
      </c>
      <c r="K125" s="15"/>
      <c r="L125" s="199"/>
      <c r="M125" s="129" t="s">
        <v>19</v>
      </c>
      <c r="N125" s="15">
        <f t="shared" si="423"/>
        <v>1.9920614263404481</v>
      </c>
      <c r="O125" s="15">
        <f t="shared" si="423"/>
        <v>2.0076782925559611</v>
      </c>
      <c r="P125" s="15">
        <f t="shared" si="423"/>
        <v>1.9979177511712656</v>
      </c>
      <c r="Q125" s="15">
        <f t="shared" si="423"/>
        <v>1.9920614263404481</v>
      </c>
      <c r="R125" s="15">
        <f t="shared" si="423"/>
        <v>2.0076782925559611</v>
      </c>
      <c r="S125" s="15">
        <f t="shared" si="423"/>
        <v>1.9979177511712656</v>
      </c>
      <c r="T125" s="20">
        <f t="shared" si="374"/>
        <v>1.9992191566892246</v>
      </c>
      <c r="U125" s="40">
        <f t="shared" si="375"/>
        <v>7.0564506568069315E-3</v>
      </c>
      <c r="V125" s="109"/>
      <c r="W125" s="82">
        <v>30</v>
      </c>
      <c r="X125" s="20">
        <f>IFERROR(($N$17-N125)/W125,"")</f>
        <v>-6.1166059344091696E-3</v>
      </c>
      <c r="Y125" s="15">
        <f>IFERROR(($O$17-O125)/W125,"")</f>
        <v>-6.7347735554398767E-3</v>
      </c>
      <c r="Z125" s="15">
        <f>IFERROR(($P$17-P125)/W125,"")</f>
        <v>-6.1491410723581476E-3</v>
      </c>
      <c r="AA125" s="15">
        <f>IFERROR(($Q$17-Q125)/W125,"")</f>
        <v>-6.1166059344091696E-3</v>
      </c>
      <c r="AB125" s="15">
        <f>IFERROR(($R$17-R125)/W125,"")</f>
        <v>-6.7347735554398767E-3</v>
      </c>
      <c r="AC125" s="15">
        <f>IFERROR(($S$17-S125)/W125,"")</f>
        <v>-6.1491410723581476E-3</v>
      </c>
      <c r="AD125" s="20">
        <f t="shared" ref="AD125:AD129" si="442">IFERROR(AVERAGE(X125:AC125), "")</f>
        <v>-6.3335068540690638E-3</v>
      </c>
      <c r="AE125" s="40">
        <f t="shared" si="435"/>
        <v>3.111602262784871E-4</v>
      </c>
      <c r="AG125" s="229"/>
      <c r="AH125" s="77">
        <f>'Sample ID'!$F$9</f>
        <v>1</v>
      </c>
      <c r="AI125" s="77">
        <f>IFERROR((X125*$AH$35),"")</f>
        <v>-6.1166059344091696E-3</v>
      </c>
      <c r="AJ125" s="77">
        <f t="shared" ref="AJ125" si="443">IFERROR((Y125*$AH$35),"")</f>
        <v>-6.7347735554398767E-3</v>
      </c>
      <c r="AK125" s="77">
        <f t="shared" ref="AK125" si="444">IFERROR((Z125*$AH$35),"")</f>
        <v>-6.1491410723581476E-3</v>
      </c>
      <c r="AL125" s="77">
        <f t="shared" ref="AL125" si="445">IFERROR((AA125*$AH$35),"")</f>
        <v>-6.1166059344091696E-3</v>
      </c>
      <c r="AM125" s="77">
        <f t="shared" ref="AM125" si="446">IFERROR((AB125*$AH$35),"")</f>
        <v>-6.7347735554398767E-3</v>
      </c>
      <c r="AN125" s="77">
        <f t="shared" ref="AN125" si="447">IFERROR((AC125*$AH$35),"")</f>
        <v>-6.1491410723581476E-3</v>
      </c>
      <c r="AO125" s="40">
        <f t="shared" si="434"/>
        <v>-6.3335068540690638E-3</v>
      </c>
      <c r="AP125" s="40">
        <f t="shared" si="441"/>
        <v>3.111602262784871E-4</v>
      </c>
      <c r="AQ125" s="15"/>
      <c r="AR125" s="15"/>
    </row>
    <row r="126" spans="3:44">
      <c r="C126" s="199"/>
      <c r="D126" s="14" t="s">
        <v>20</v>
      </c>
      <c r="E126" s="15">
        <f>Data!B91</f>
        <v>2.169</v>
      </c>
      <c r="F126" s="15">
        <f>Data!C91</f>
        <v>2.1840000000000002</v>
      </c>
      <c r="G126" s="15">
        <f>Data!D91</f>
        <v>2.1819999999999999</v>
      </c>
      <c r="H126" s="15">
        <f>Data!E91</f>
        <v>2.169</v>
      </c>
      <c r="I126" s="15">
        <f>Data!F91</f>
        <v>2.1840000000000002</v>
      </c>
      <c r="J126" s="15">
        <f>Data!G91</f>
        <v>2.1819999999999999</v>
      </c>
      <c r="K126" s="15"/>
      <c r="L126" s="199"/>
      <c r="M126" s="129" t="s">
        <v>20</v>
      </c>
      <c r="N126" s="15">
        <f t="shared" si="423"/>
        <v>1.9247136907860494</v>
      </c>
      <c r="O126" s="15">
        <f t="shared" si="423"/>
        <v>1.9393545028630927</v>
      </c>
      <c r="P126" s="15">
        <f t="shared" si="423"/>
        <v>1.9374023945861534</v>
      </c>
      <c r="Q126" s="15">
        <f t="shared" si="423"/>
        <v>1.9247136907860494</v>
      </c>
      <c r="R126" s="15">
        <f t="shared" si="423"/>
        <v>1.9393545028630927</v>
      </c>
      <c r="S126" s="15">
        <f t="shared" si="423"/>
        <v>1.9374023945861534</v>
      </c>
      <c r="T126" s="20">
        <f t="shared" si="374"/>
        <v>1.9338235294117652</v>
      </c>
      <c r="U126" s="40">
        <f t="shared" si="375"/>
        <v>7.1102490263653274E-3</v>
      </c>
      <c r="V126" s="109"/>
      <c r="W126" s="82">
        <v>30</v>
      </c>
      <c r="X126" s="20">
        <f>IFERROR(($N$18-N126)/W126,"")</f>
        <v>-2.5377407600208159E-3</v>
      </c>
      <c r="Y126" s="15">
        <f>IFERROR(($O$18-O126)/W126,"")</f>
        <v>-3.8066111400312315E-3</v>
      </c>
      <c r="Z126" s="15">
        <f>IFERROR(($P$18-P126)/W126,"")</f>
        <v>-3.0257678292555951E-3</v>
      </c>
      <c r="AA126" s="15">
        <f>IFERROR(($Q$18-Q126)/W126,"")</f>
        <v>-2.5377407600208159E-3</v>
      </c>
      <c r="AB126" s="15">
        <f>IFERROR(($R$18-R126)/W126,"")</f>
        <v>-3.8066111400312315E-3</v>
      </c>
      <c r="AC126" s="15">
        <f>IFERROR(($S$18-S126)/W126,"")</f>
        <v>-3.0257678292555951E-3</v>
      </c>
      <c r="AD126" s="20">
        <f t="shared" si="442"/>
        <v>-3.1233732431025472E-3</v>
      </c>
      <c r="AE126" s="40">
        <f t="shared" si="435"/>
        <v>5.724705218095481E-4</v>
      </c>
      <c r="AG126" s="229"/>
      <c r="AH126" s="77">
        <f>'Sample ID'!$F$10</f>
        <v>1</v>
      </c>
      <c r="AI126" s="77">
        <f>IFERROR((X126*$AH$36),"")</f>
        <v>-2.5377407600208159E-3</v>
      </c>
      <c r="AJ126" s="77">
        <f t="shared" ref="AJ126" si="448">IFERROR((Y126*$AH$36),"")</f>
        <v>-3.8066111400312315E-3</v>
      </c>
      <c r="AK126" s="77">
        <f t="shared" ref="AK126" si="449">IFERROR((Z126*$AH$36),"")</f>
        <v>-3.0257678292555951E-3</v>
      </c>
      <c r="AL126" s="77">
        <f t="shared" ref="AL126" si="450">IFERROR((AA126*$AH$36),"")</f>
        <v>-2.5377407600208159E-3</v>
      </c>
      <c r="AM126" s="77">
        <f t="shared" ref="AM126" si="451">IFERROR((AB126*$AH$36),"")</f>
        <v>-3.8066111400312315E-3</v>
      </c>
      <c r="AN126" s="77">
        <f t="shared" ref="AN126" si="452">IFERROR((AC126*$AH$36),"")</f>
        <v>-3.0257678292555951E-3</v>
      </c>
      <c r="AO126" s="40">
        <f t="shared" si="434"/>
        <v>-3.1233732431025472E-3</v>
      </c>
      <c r="AP126" s="40">
        <f t="shared" si="441"/>
        <v>5.724705218095481E-4</v>
      </c>
      <c r="AQ126" s="15"/>
      <c r="AR126" s="15"/>
    </row>
    <row r="127" spans="3:44">
      <c r="C127" s="199"/>
      <c r="D127" s="14" t="s">
        <v>21</v>
      </c>
      <c r="E127" s="15">
        <f>Data!B92</f>
        <v>1.5469999999999999</v>
      </c>
      <c r="F127" s="15">
        <f>Data!C92</f>
        <v>1.571</v>
      </c>
      <c r="G127" s="15">
        <f>Data!D92</f>
        <v>1.506</v>
      </c>
      <c r="H127" s="15">
        <f>Data!E92</f>
        <v>1.5469999999999999</v>
      </c>
      <c r="I127" s="15">
        <f>Data!F92</f>
        <v>1.571</v>
      </c>
      <c r="J127" s="15">
        <f>Data!G92</f>
        <v>1.506</v>
      </c>
      <c r="K127" s="15"/>
      <c r="L127" s="199"/>
      <c r="M127" s="129" t="s">
        <v>21</v>
      </c>
      <c r="N127" s="15">
        <f t="shared" si="423"/>
        <v>1.3176080166579909</v>
      </c>
      <c r="O127" s="15">
        <f t="shared" si="423"/>
        <v>1.34103331598126</v>
      </c>
      <c r="P127" s="15">
        <f t="shared" si="423"/>
        <v>1.2775897969807395</v>
      </c>
      <c r="Q127" s="15">
        <f t="shared" si="423"/>
        <v>1.3176080166579909</v>
      </c>
      <c r="R127" s="15">
        <f t="shared" si="423"/>
        <v>1.34103331598126</v>
      </c>
      <c r="S127" s="15">
        <f t="shared" si="423"/>
        <v>1.2775897969807395</v>
      </c>
      <c r="T127" s="20">
        <f>IFERROR(AVERAGE(P127:S127),"")</f>
        <v>1.3034552316501826</v>
      </c>
      <c r="U127" s="40">
        <f>IFERROR(STDEV(P127:S127),"")</f>
        <v>3.136056529438027E-2</v>
      </c>
      <c r="V127" s="109"/>
      <c r="W127" s="82">
        <v>30</v>
      </c>
      <c r="X127" s="20">
        <f>IFERROR(($N$19-N127)/W127,"")</f>
        <v>1.1387298282144723E-2</v>
      </c>
      <c r="Y127" s="15">
        <f>IFERROR(($O$19-O127)/W127,"")</f>
        <v>1.1810255075481524E-2</v>
      </c>
      <c r="Z127" s="15">
        <f>IFERROR(($P$19-P127)/W127,"")</f>
        <v>1.2656168662155132E-2</v>
      </c>
      <c r="AA127" s="15">
        <f>IFERROR(($Q$19-Q127)/W127,"")</f>
        <v>1.1387298282144723E-2</v>
      </c>
      <c r="AB127" s="15">
        <f>IFERROR(($R$19-R127)/W127,"")</f>
        <v>1.1810255075481524E-2</v>
      </c>
      <c r="AC127" s="15">
        <f>IFERROR(($S$19-S127)/W127,"")</f>
        <v>1.2656168662155132E-2</v>
      </c>
      <c r="AD127" s="20">
        <f t="shared" si="442"/>
        <v>1.1951240673260458E-2</v>
      </c>
      <c r="AE127" s="40">
        <f t="shared" si="435"/>
        <v>5.7786899166004926E-4</v>
      </c>
      <c r="AG127" s="229"/>
      <c r="AH127" s="77">
        <f>'Sample ID'!$F$11</f>
        <v>0</v>
      </c>
      <c r="AI127" s="77">
        <f>IFERROR((X127*$AH$37),"")</f>
        <v>0</v>
      </c>
      <c r="AJ127" s="77">
        <f t="shared" ref="AJ127" si="453">IFERROR((Y127*$AH$37),"")</f>
        <v>0</v>
      </c>
      <c r="AK127" s="77">
        <f t="shared" ref="AK127" si="454">IFERROR((Z127*$AH$37),"")</f>
        <v>0</v>
      </c>
      <c r="AL127" s="77">
        <f t="shared" ref="AL127" si="455">IFERROR((AA127*$AH$37),"")</f>
        <v>0</v>
      </c>
      <c r="AM127" s="77">
        <f t="shared" ref="AM127" si="456">IFERROR((AB127*$AH$37),"")</f>
        <v>0</v>
      </c>
      <c r="AN127" s="77">
        <f t="shared" ref="AN127" si="457">IFERROR((AC127*$AH$37),"")</f>
        <v>0</v>
      </c>
      <c r="AO127" s="40">
        <f t="shared" si="434"/>
        <v>0</v>
      </c>
      <c r="AP127" s="40">
        <f t="shared" si="441"/>
        <v>0</v>
      </c>
      <c r="AQ127" s="15"/>
      <c r="AR127" s="15"/>
    </row>
    <row r="128" spans="3:44">
      <c r="C128" s="199"/>
      <c r="D128" s="14" t="s">
        <v>22</v>
      </c>
      <c r="E128" s="15">
        <f>Data!B93</f>
        <v>1.7350000000000001</v>
      </c>
      <c r="F128" s="15">
        <f>Data!C93</f>
        <v>1.7250000000000001</v>
      </c>
      <c r="G128" s="15">
        <f>Data!D93</f>
        <v>1.744</v>
      </c>
      <c r="H128" s="15">
        <f>Data!E93</f>
        <v>1.7350000000000001</v>
      </c>
      <c r="I128" s="15">
        <f>Data!F93</f>
        <v>1.7250000000000001</v>
      </c>
      <c r="J128" s="15">
        <f>Data!G93</f>
        <v>1.744</v>
      </c>
      <c r="K128" s="15"/>
      <c r="L128" s="199"/>
      <c r="M128" s="129" t="s">
        <v>22</v>
      </c>
      <c r="N128" s="15">
        <f t="shared" si="423"/>
        <v>1.501106194690266</v>
      </c>
      <c r="O128" s="15">
        <f t="shared" si="423"/>
        <v>1.4913456533055705</v>
      </c>
      <c r="P128" s="15">
        <f t="shared" si="423"/>
        <v>1.5098906819364917</v>
      </c>
      <c r="Q128" s="15">
        <f t="shared" si="423"/>
        <v>1.501106194690266</v>
      </c>
      <c r="R128" s="15">
        <f t="shared" si="423"/>
        <v>1.4913456533055705</v>
      </c>
      <c r="S128" s="15">
        <f t="shared" si="423"/>
        <v>1.5098906819364917</v>
      </c>
      <c r="T128" s="20">
        <f t="shared" si="374"/>
        <v>1.5007808433107759</v>
      </c>
      <c r="U128" s="40">
        <f t="shared" si="375"/>
        <v>8.2974170376340119E-3</v>
      </c>
      <c r="V128" s="109"/>
      <c r="W128" s="82">
        <v>30</v>
      </c>
      <c r="X128" s="20">
        <f>IFERROR(($N$20-N128)/W128,"")</f>
        <v>5.5960437272254042E-3</v>
      </c>
      <c r="Y128" s="15">
        <f>IFERROR(($O$20-O128)/W128,"")</f>
        <v>5.7587194169703261E-3</v>
      </c>
      <c r="Z128" s="15">
        <f>IFERROR(($P$20-P128)/W128,"")</f>
        <v>5.5309734513274327E-3</v>
      </c>
      <c r="AA128" s="15">
        <f>IFERROR(($Q$20-Q128)/W128,"")</f>
        <v>5.5960437272254042E-3</v>
      </c>
      <c r="AB128" s="15">
        <f>IFERROR(($R$20-R128)/W128,"")</f>
        <v>5.7587194169703261E-3</v>
      </c>
      <c r="AC128" s="15">
        <f>IFERROR(($S$20-S128)/W128,"")</f>
        <v>5.5309734513274327E-3</v>
      </c>
      <c r="AD128" s="20">
        <f t="shared" si="442"/>
        <v>5.6285788651743883E-3</v>
      </c>
      <c r="AE128" s="40">
        <f t="shared" si="435"/>
        <v>1.0492266720846565E-4</v>
      </c>
      <c r="AG128" s="229"/>
      <c r="AH128" s="77">
        <f>'Sample ID'!$F$12</f>
        <v>0</v>
      </c>
      <c r="AI128" s="77">
        <f>IFERROR((X128*$AH$38),"")</f>
        <v>0</v>
      </c>
      <c r="AJ128" s="77">
        <f t="shared" ref="AJ128" si="458">IFERROR((Y128*$AH$38),"")</f>
        <v>0</v>
      </c>
      <c r="AK128" s="77">
        <f t="shared" ref="AK128" si="459">IFERROR((Z128*$AH$38),"")</f>
        <v>0</v>
      </c>
      <c r="AL128" s="77">
        <f t="shared" ref="AL128" si="460">IFERROR((AA128*$AH$38),"")</f>
        <v>0</v>
      </c>
      <c r="AM128" s="77">
        <f t="shared" ref="AM128" si="461">IFERROR((AB128*$AH$38),"")</f>
        <v>0</v>
      </c>
      <c r="AN128" s="77">
        <f t="shared" ref="AN128" si="462">IFERROR((AC128*$AH$38),"")</f>
        <v>0</v>
      </c>
      <c r="AO128" s="40">
        <f t="shared" si="434"/>
        <v>0</v>
      </c>
      <c r="AP128" s="40">
        <f t="shared" si="441"/>
        <v>0</v>
      </c>
      <c r="AQ128" s="15"/>
      <c r="AR128" s="15"/>
    </row>
    <row r="129" spans="3:44">
      <c r="C129" s="199"/>
      <c r="D129" s="14" t="s">
        <v>23</v>
      </c>
      <c r="E129" s="15">
        <f>Data!B94</f>
        <v>0</v>
      </c>
      <c r="F129" s="15">
        <f>Data!C94</f>
        <v>0</v>
      </c>
      <c r="G129" s="15">
        <f>Data!D94</f>
        <v>0</v>
      </c>
      <c r="H129" s="15">
        <f>Data!E94</f>
        <v>0</v>
      </c>
      <c r="I129" s="15">
        <f>Data!F94</f>
        <v>0</v>
      </c>
      <c r="J129" s="15">
        <f>Data!G94</f>
        <v>0</v>
      </c>
      <c r="K129" s="15"/>
      <c r="L129" s="199"/>
      <c r="M129" s="129" t="s">
        <v>23</v>
      </c>
      <c r="N129" s="15" t="str">
        <f t="shared" si="423"/>
        <v xml:space="preserve"> </v>
      </c>
      <c r="O129" s="15" t="str">
        <f t="shared" si="423"/>
        <v xml:space="preserve"> </v>
      </c>
      <c r="P129" s="15" t="str">
        <f t="shared" si="423"/>
        <v xml:space="preserve"> </v>
      </c>
      <c r="Q129" s="15" t="str">
        <f t="shared" si="423"/>
        <v xml:space="preserve"> </v>
      </c>
      <c r="R129" s="15" t="str">
        <f t="shared" si="423"/>
        <v xml:space="preserve"> </v>
      </c>
      <c r="S129" s="15" t="str">
        <f t="shared" si="423"/>
        <v xml:space="preserve"> </v>
      </c>
      <c r="T129" s="20" t="str">
        <f t="shared" si="374"/>
        <v/>
      </c>
      <c r="U129" s="40" t="str">
        <f t="shared" si="375"/>
        <v/>
      </c>
      <c r="V129" s="109"/>
      <c r="W129" s="82">
        <v>30</v>
      </c>
      <c r="X129" s="20" t="str">
        <f>IFERROR(($N$21-N129)/W129,"")</f>
        <v/>
      </c>
      <c r="Y129" s="15" t="str">
        <f>IFERROR(($O$21-O129)/W129,"")</f>
        <v/>
      </c>
      <c r="Z129" s="15" t="str">
        <f>IFERROR(($P$21-P129)/W129,"")</f>
        <v/>
      </c>
      <c r="AA129" s="15" t="str">
        <f>IFERROR(($Q$21-Q129)/W129,"")</f>
        <v/>
      </c>
      <c r="AB129" s="15" t="str">
        <f>IFERROR(($R$21-R129)/W129,"")</f>
        <v/>
      </c>
      <c r="AC129" s="15" t="str">
        <f>IFERROR(($S$21-S129)/W129,"")</f>
        <v/>
      </c>
      <c r="AD129" s="20" t="str">
        <f t="shared" si="442"/>
        <v/>
      </c>
      <c r="AE129" s="40" t="str">
        <f t="shared" si="435"/>
        <v/>
      </c>
      <c r="AG129" s="229"/>
      <c r="AH129" s="77">
        <f>'Sample ID'!$F$13</f>
        <v>0</v>
      </c>
      <c r="AI129" s="77" t="str">
        <f>IFERROR((X129*$AH$39),"")</f>
        <v/>
      </c>
      <c r="AJ129" s="77" t="str">
        <f t="shared" ref="AJ129" si="463">IFERROR((Y129*$AH$39),"")</f>
        <v/>
      </c>
      <c r="AK129" s="77" t="str">
        <f t="shared" ref="AK129" si="464">IFERROR((Z129*$AH$39),"")</f>
        <v/>
      </c>
      <c r="AL129" s="77" t="str">
        <f t="shared" ref="AL129" si="465">IFERROR((AA129*$AH$39),"")</f>
        <v/>
      </c>
      <c r="AM129" s="77" t="str">
        <f t="shared" ref="AM129" si="466">IFERROR((AB129*$AH$39),"")</f>
        <v/>
      </c>
      <c r="AN129" s="77" t="str">
        <f t="shared" ref="AN129" si="467">IFERROR((AC129*$AH$39),"")</f>
        <v/>
      </c>
      <c r="AO129" s="40" t="str">
        <f t="shared" si="434"/>
        <v/>
      </c>
      <c r="AP129" s="40" t="str">
        <f t="shared" si="441"/>
        <v/>
      </c>
      <c r="AQ129" s="15"/>
      <c r="AR129" s="15"/>
    </row>
    <row r="130" spans="3:44">
      <c r="C130" s="199"/>
      <c r="D130" s="39"/>
      <c r="E130" s="56">
        <v>7</v>
      </c>
      <c r="F130" s="56">
        <v>8</v>
      </c>
      <c r="G130" s="57">
        <v>9</v>
      </c>
      <c r="H130" s="56">
        <v>10</v>
      </c>
      <c r="I130" s="56">
        <v>11</v>
      </c>
      <c r="J130" s="57">
        <v>12</v>
      </c>
      <c r="K130" s="19"/>
      <c r="L130" s="199"/>
      <c r="M130" s="38"/>
      <c r="N130" s="59">
        <v>7</v>
      </c>
      <c r="O130" s="38">
        <v>8</v>
      </c>
      <c r="P130" s="38">
        <v>9</v>
      </c>
      <c r="Q130" s="38">
        <v>10</v>
      </c>
      <c r="R130" s="38">
        <v>11</v>
      </c>
      <c r="S130" s="50">
        <v>12</v>
      </c>
      <c r="T130" s="38" t="s">
        <v>24</v>
      </c>
      <c r="U130" s="51" t="s">
        <v>3</v>
      </c>
      <c r="V130" s="109"/>
      <c r="W130" s="98"/>
      <c r="X130" s="38">
        <v>7</v>
      </c>
      <c r="Y130" s="38">
        <v>8</v>
      </c>
      <c r="Z130" s="38">
        <v>9</v>
      </c>
      <c r="AA130" s="38">
        <v>10</v>
      </c>
      <c r="AB130" s="38">
        <v>11</v>
      </c>
      <c r="AC130" s="50">
        <v>12</v>
      </c>
      <c r="AD130" s="50" t="s">
        <v>49</v>
      </c>
      <c r="AE130" s="51" t="s">
        <v>3</v>
      </c>
      <c r="AG130" s="229"/>
      <c r="AH130" s="119"/>
      <c r="AI130" s="119"/>
      <c r="AJ130" s="119"/>
      <c r="AK130" s="119"/>
      <c r="AL130" s="119"/>
      <c r="AM130" s="119"/>
      <c r="AN130" s="119"/>
      <c r="AO130" s="100" t="str">
        <f>IFERROR(#REF!/(#REF!/W130), " ")</f>
        <v xml:space="preserve"> </v>
      </c>
      <c r="AP130" s="51" t="s">
        <v>3</v>
      </c>
      <c r="AQ130" s="15"/>
      <c r="AR130" s="15"/>
    </row>
    <row r="131" spans="3:44">
      <c r="C131" s="199"/>
      <c r="D131" s="14" t="s">
        <v>16</v>
      </c>
      <c r="E131" s="15">
        <f>Data!H87</f>
        <v>0</v>
      </c>
      <c r="F131" s="15">
        <f>Data!I87</f>
        <v>0</v>
      </c>
      <c r="G131" s="15">
        <f>Data!J87</f>
        <v>0</v>
      </c>
      <c r="H131" s="15">
        <f>Data!K87</f>
        <v>0</v>
      </c>
      <c r="I131" s="15">
        <f>Data!L87</f>
        <v>0</v>
      </c>
      <c r="J131" s="15">
        <f>Data!M87</f>
        <v>0</v>
      </c>
      <c r="K131" s="15"/>
      <c r="L131" s="199"/>
      <c r="M131" s="129" t="s">
        <v>16</v>
      </c>
      <c r="N131" s="15" t="str">
        <f t="shared" ref="N131:S138" si="468">IF(((E131-$P$11)/$P$10)&gt;0,((E131-$P$11)/$P$10)," ")</f>
        <v xml:space="preserve"> </v>
      </c>
      <c r="O131" s="15" t="str">
        <f t="shared" si="468"/>
        <v xml:space="preserve"> </v>
      </c>
      <c r="P131" s="15" t="str">
        <f t="shared" si="468"/>
        <v xml:space="preserve"> </v>
      </c>
      <c r="Q131" s="15" t="str">
        <f t="shared" si="468"/>
        <v xml:space="preserve"> </v>
      </c>
      <c r="R131" s="15" t="str">
        <f t="shared" si="468"/>
        <v xml:space="preserve"> </v>
      </c>
      <c r="S131" s="15" t="str">
        <f t="shared" si="468"/>
        <v xml:space="preserve"> </v>
      </c>
      <c r="T131" s="20" t="str">
        <f t="shared" si="374"/>
        <v/>
      </c>
      <c r="U131" s="40" t="str">
        <f t="shared" si="375"/>
        <v/>
      </c>
      <c r="V131" s="109"/>
      <c r="W131" s="82">
        <v>30</v>
      </c>
      <c r="X131" s="20" t="str">
        <f>IFERROR(($N$23-N131)/W131,"")</f>
        <v/>
      </c>
      <c r="Y131" s="15" t="str">
        <f>IFERROR(($O$23-O131)/W131,"")</f>
        <v/>
      </c>
      <c r="Z131" s="15" t="str">
        <f>IFERROR(($P$23-P131)/W131,"")</f>
        <v/>
      </c>
      <c r="AA131" s="15" t="str">
        <f>IFERROR(($Q$23-Q131)/W131,"")</f>
        <v/>
      </c>
      <c r="AB131" s="15" t="str">
        <f>IFERROR(($R$23-R131)/W131,"")</f>
        <v/>
      </c>
      <c r="AC131" s="15" t="str">
        <f>IFERROR(($S$23-S131)/W131,"")</f>
        <v/>
      </c>
      <c r="AD131" s="20" t="str">
        <f t="shared" ref="AD131:AD132" si="469">IFERROR(AVERAGE(X131:AC131), "")</f>
        <v/>
      </c>
      <c r="AE131" s="40" t="str">
        <f t="shared" ref="AE131:AE132" si="470">IFERROR(STDEV(X131:AC131), "")</f>
        <v/>
      </c>
      <c r="AG131" s="229"/>
      <c r="AH131" s="77">
        <f>'Sample ID'!$F$14</f>
        <v>0</v>
      </c>
      <c r="AI131" s="77" t="str">
        <f>IFERROR((X131*$AH$41),"")</f>
        <v/>
      </c>
      <c r="AJ131" s="77" t="str">
        <f t="shared" ref="AJ131" si="471">IFERROR((Y131*$AH$41),"")</f>
        <v/>
      </c>
      <c r="AK131" s="77" t="str">
        <f t="shared" ref="AK131" si="472">IFERROR((Z131*$AH$41),"")</f>
        <v/>
      </c>
      <c r="AL131" s="77" t="str">
        <f t="shared" ref="AL131" si="473">IFERROR((AA131*$AH$41),"")</f>
        <v/>
      </c>
      <c r="AM131" s="77" t="str">
        <f t="shared" ref="AM131" si="474">IFERROR((AB131*$AH$41),"")</f>
        <v/>
      </c>
      <c r="AN131" s="77" t="str">
        <f t="shared" ref="AN131" si="475">IFERROR((AC131*$AH$41),"")</f>
        <v/>
      </c>
      <c r="AO131" s="40" t="str">
        <f>IFERROR(AVERAGE(AI131:AN131),"")</f>
        <v/>
      </c>
      <c r="AP131" s="40" t="str">
        <f t="shared" ref="AP131:AP132" si="476">IFERROR(STDEV(AI131:AN131), "")</f>
        <v/>
      </c>
      <c r="AQ131" s="15"/>
      <c r="AR131" s="15"/>
    </row>
    <row r="132" spans="3:44">
      <c r="C132" s="199"/>
      <c r="D132" s="14" t="s">
        <v>17</v>
      </c>
      <c r="E132" s="15">
        <f>Data!H88</f>
        <v>0</v>
      </c>
      <c r="F132" s="15">
        <f>Data!I88</f>
        <v>0</v>
      </c>
      <c r="G132" s="15">
        <f>Data!J88</f>
        <v>0</v>
      </c>
      <c r="H132" s="15">
        <f>Data!K88</f>
        <v>0</v>
      </c>
      <c r="I132" s="15">
        <f>Data!L88</f>
        <v>0</v>
      </c>
      <c r="J132" s="15">
        <f>Data!M88</f>
        <v>0</v>
      </c>
      <c r="K132" s="15"/>
      <c r="L132" s="199"/>
      <c r="M132" s="129" t="s">
        <v>17</v>
      </c>
      <c r="N132" s="15" t="str">
        <f t="shared" si="468"/>
        <v xml:space="preserve"> </v>
      </c>
      <c r="O132" s="15" t="str">
        <f t="shared" si="468"/>
        <v xml:space="preserve"> </v>
      </c>
      <c r="P132" s="15" t="str">
        <f t="shared" si="468"/>
        <v xml:space="preserve"> </v>
      </c>
      <c r="Q132" s="15" t="str">
        <f t="shared" si="468"/>
        <v xml:space="preserve"> </v>
      </c>
      <c r="R132" s="15" t="str">
        <f t="shared" si="468"/>
        <v xml:space="preserve"> </v>
      </c>
      <c r="S132" s="15" t="str">
        <f t="shared" si="468"/>
        <v xml:space="preserve"> </v>
      </c>
      <c r="T132" s="20" t="str">
        <f t="shared" si="374"/>
        <v/>
      </c>
      <c r="U132" s="40" t="str">
        <f t="shared" si="375"/>
        <v/>
      </c>
      <c r="V132" s="109"/>
      <c r="W132" s="82">
        <v>30</v>
      </c>
      <c r="X132" s="20" t="str">
        <f>IFERROR(($N$24-N132)/W132,"")</f>
        <v/>
      </c>
      <c r="Y132" s="15" t="str">
        <f>IFERROR(($O$24-O132)/W132,"")</f>
        <v/>
      </c>
      <c r="Z132" s="15" t="str">
        <f>IFERROR(($P$24-P132)/W132,"")</f>
        <v/>
      </c>
      <c r="AA132" s="15" t="str">
        <f>IFERROR(($Q$24-Q132)/W132,"")</f>
        <v/>
      </c>
      <c r="AB132" s="15" t="str">
        <f>IFERROR(($R$24-R132)/W132,"")</f>
        <v/>
      </c>
      <c r="AC132" s="15" t="str">
        <f>IFERROR(($S$24-S132)/W132,"")</f>
        <v/>
      </c>
      <c r="AD132" s="20" t="str">
        <f t="shared" si="469"/>
        <v/>
      </c>
      <c r="AE132" s="40" t="str">
        <f t="shared" si="470"/>
        <v/>
      </c>
      <c r="AG132" s="229"/>
      <c r="AH132" s="77">
        <f>'Sample ID'!$F$15</f>
        <v>0</v>
      </c>
      <c r="AI132" s="77" t="str">
        <f>IFERROR((X132*$AH$42),"")</f>
        <v/>
      </c>
      <c r="AJ132" s="77" t="str">
        <f t="shared" ref="AJ132" si="477">IFERROR((Y132*$AH$42),"")</f>
        <v/>
      </c>
      <c r="AK132" s="77" t="str">
        <f t="shared" ref="AK132" si="478">IFERROR((Z132*$AH$42),"")</f>
        <v/>
      </c>
      <c r="AL132" s="77" t="str">
        <f t="shared" ref="AL132" si="479">IFERROR((AA132*$AH$42),"")</f>
        <v/>
      </c>
      <c r="AM132" s="77" t="str">
        <f t="shared" ref="AM132" si="480">IFERROR((AB132*$AH$42),"")</f>
        <v/>
      </c>
      <c r="AN132" s="77" t="str">
        <f t="shared" ref="AN132" si="481">IFERROR((AC132*$AH$42),"")</f>
        <v/>
      </c>
      <c r="AO132" s="40" t="str">
        <f t="shared" ref="AO132:AO138" si="482">IFERROR(AVERAGE(AI132:AN132),"")</f>
        <v/>
      </c>
      <c r="AP132" s="40" t="str">
        <f t="shared" si="476"/>
        <v/>
      </c>
      <c r="AQ132" s="15"/>
      <c r="AR132" s="15"/>
    </row>
    <row r="133" spans="3:44">
      <c r="C133" s="199"/>
      <c r="D133" s="14" t="s">
        <v>18</v>
      </c>
      <c r="E133" s="15">
        <f>Data!H89</f>
        <v>0</v>
      </c>
      <c r="F133" s="15">
        <f>Data!I89</f>
        <v>0</v>
      </c>
      <c r="G133" s="15">
        <f>Data!J89</f>
        <v>0</v>
      </c>
      <c r="H133" s="15">
        <f>Data!K89</f>
        <v>0</v>
      </c>
      <c r="I133" s="15">
        <f>Data!L89</f>
        <v>0</v>
      </c>
      <c r="J133" s="15">
        <f>Data!M89</f>
        <v>0</v>
      </c>
      <c r="K133" s="15"/>
      <c r="L133" s="199"/>
      <c r="M133" s="129" t="s">
        <v>18</v>
      </c>
      <c r="N133" s="15" t="str">
        <f t="shared" si="468"/>
        <v xml:space="preserve"> </v>
      </c>
      <c r="O133" s="15" t="str">
        <f t="shared" si="468"/>
        <v xml:space="preserve"> </v>
      </c>
      <c r="P133" s="15" t="str">
        <f t="shared" si="468"/>
        <v xml:space="preserve"> </v>
      </c>
      <c r="Q133" s="15" t="str">
        <f t="shared" si="468"/>
        <v xml:space="preserve"> </v>
      </c>
      <c r="R133" s="15" t="str">
        <f t="shared" si="468"/>
        <v xml:space="preserve"> </v>
      </c>
      <c r="S133" s="15" t="str">
        <f t="shared" si="468"/>
        <v xml:space="preserve"> </v>
      </c>
      <c r="T133" s="20" t="str">
        <f t="shared" si="374"/>
        <v/>
      </c>
      <c r="U133" s="40" t="str">
        <f t="shared" si="375"/>
        <v/>
      </c>
      <c r="V133" s="109"/>
      <c r="W133" s="82">
        <v>30</v>
      </c>
      <c r="X133" s="20" t="str">
        <f>IFERROR(($N$25-N133)/W133,"")</f>
        <v/>
      </c>
      <c r="Y133" s="15" t="str">
        <f>IFERROR(($O$25-O133)/W133,"")</f>
        <v/>
      </c>
      <c r="Z133" s="15" t="str">
        <f>IFERROR(($P$25-P133)/W133,"")</f>
        <v/>
      </c>
      <c r="AA133" s="15" t="str">
        <f>IFERROR(($Q$25-Q133)/W133,"")</f>
        <v/>
      </c>
      <c r="AB133" s="15" t="str">
        <f>IFERROR(($R$25-R133)/W133,"")</f>
        <v/>
      </c>
      <c r="AC133" s="15" t="str">
        <f>IFERROR(($S$25-S133)/W133,"")</f>
        <v/>
      </c>
      <c r="AD133" s="20" t="str">
        <f>IFERROR(AVERAGE(X133:AC133), "")</f>
        <v/>
      </c>
      <c r="AE133" s="40" t="str">
        <f>IFERROR(STDEV(X133:AC133), "")</f>
        <v/>
      </c>
      <c r="AG133" s="229"/>
      <c r="AH133" s="77">
        <f>'Sample ID'!$F$16</f>
        <v>0</v>
      </c>
      <c r="AI133" s="77" t="str">
        <f>IFERROR((X133*$AH$43),"")</f>
        <v/>
      </c>
      <c r="AJ133" s="77" t="str">
        <f t="shared" ref="AJ133" si="483">IFERROR((Y133*$AH$43),"")</f>
        <v/>
      </c>
      <c r="AK133" s="77" t="str">
        <f t="shared" ref="AK133" si="484">IFERROR((Z133*$AH$43),"")</f>
        <v/>
      </c>
      <c r="AL133" s="77" t="str">
        <f t="shared" ref="AL133" si="485">IFERROR((AA133*$AH$43),"")</f>
        <v/>
      </c>
      <c r="AM133" s="77" t="str">
        <f t="shared" ref="AM133" si="486">IFERROR((AB133*$AH$43),"")</f>
        <v/>
      </c>
      <c r="AN133" s="77" t="str">
        <f t="shared" ref="AN133" si="487">IFERROR((AC133*$AH$43),"")</f>
        <v/>
      </c>
      <c r="AO133" s="40" t="str">
        <f t="shared" si="482"/>
        <v/>
      </c>
      <c r="AP133" s="40" t="str">
        <f>IFERROR(STDEV(AI133:AN133), "")</f>
        <v/>
      </c>
      <c r="AQ133" s="15"/>
      <c r="AR133" s="15"/>
    </row>
    <row r="134" spans="3:44">
      <c r="C134" s="199"/>
      <c r="D134" s="14" t="s">
        <v>19</v>
      </c>
      <c r="E134" s="15">
        <f>Data!H90</f>
        <v>0</v>
      </c>
      <c r="F134" s="15">
        <f>Data!I90</f>
        <v>0</v>
      </c>
      <c r="G134" s="15">
        <f>Data!J90</f>
        <v>0</v>
      </c>
      <c r="H134" s="15">
        <f>Data!K90</f>
        <v>0</v>
      </c>
      <c r="I134" s="15">
        <f>Data!L90</f>
        <v>0</v>
      </c>
      <c r="J134" s="15">
        <f>Data!M90</f>
        <v>0</v>
      </c>
      <c r="K134" s="15"/>
      <c r="L134" s="199"/>
      <c r="M134" s="129" t="s">
        <v>19</v>
      </c>
      <c r="N134" s="15" t="str">
        <f t="shared" si="468"/>
        <v xml:space="preserve"> </v>
      </c>
      <c r="O134" s="15" t="str">
        <f t="shared" si="468"/>
        <v xml:space="preserve"> </v>
      </c>
      <c r="P134" s="15" t="str">
        <f t="shared" si="468"/>
        <v xml:space="preserve"> </v>
      </c>
      <c r="Q134" s="15" t="str">
        <f t="shared" si="468"/>
        <v xml:space="preserve"> </v>
      </c>
      <c r="R134" s="15" t="str">
        <f t="shared" si="468"/>
        <v xml:space="preserve"> </v>
      </c>
      <c r="S134" s="15" t="str">
        <f t="shared" si="468"/>
        <v xml:space="preserve"> </v>
      </c>
      <c r="T134" s="20" t="str">
        <f t="shared" si="374"/>
        <v/>
      </c>
      <c r="U134" s="40" t="str">
        <f t="shared" si="375"/>
        <v/>
      </c>
      <c r="V134" s="109"/>
      <c r="W134" s="82">
        <v>30</v>
      </c>
      <c r="X134" s="20" t="str">
        <f>IFERROR(($N$26-N134)/W134,"")</f>
        <v/>
      </c>
      <c r="Y134" s="15" t="str">
        <f>IFERROR(($O$26-O134)/W134,"")</f>
        <v/>
      </c>
      <c r="Z134" s="15" t="str">
        <f>IFERROR(($P$26-P134)/W134,"")</f>
        <v/>
      </c>
      <c r="AA134" s="15" t="str">
        <f>IFERROR(($Q$17-Q134)/W134,"")</f>
        <v/>
      </c>
      <c r="AB134" s="15" t="str">
        <f>IFERROR(($R$26-R134)/W134,"")</f>
        <v/>
      </c>
      <c r="AC134" s="15" t="str">
        <f>IFERROR(($S$26-S134)/W134,"")</f>
        <v/>
      </c>
      <c r="AD134" s="20" t="str">
        <f t="shared" ref="AD134:AD137" si="488">IFERROR(AVERAGE(X134:AC134), "")</f>
        <v/>
      </c>
      <c r="AE134" s="40" t="str">
        <f t="shared" ref="AE134:AE138" si="489">IFERROR(STDEV(X134:AC134), "")</f>
        <v/>
      </c>
      <c r="AG134" s="229"/>
      <c r="AH134" s="77">
        <f>'Sample ID'!$F$17</f>
        <v>0</v>
      </c>
      <c r="AI134" s="77" t="str">
        <f>IFERROR((X134*$AH$44),"")</f>
        <v/>
      </c>
      <c r="AJ134" s="77" t="str">
        <f t="shared" ref="AJ134" si="490">IFERROR((Y134*$AH$44),"")</f>
        <v/>
      </c>
      <c r="AK134" s="77" t="str">
        <f t="shared" ref="AK134" si="491">IFERROR((Z134*$AH$44),"")</f>
        <v/>
      </c>
      <c r="AL134" s="77" t="str">
        <f t="shared" ref="AL134" si="492">IFERROR((AA134*$AH$44),"")</f>
        <v/>
      </c>
      <c r="AM134" s="77" t="str">
        <f t="shared" ref="AM134" si="493">IFERROR((AB134*$AH$44),"")</f>
        <v/>
      </c>
      <c r="AN134" s="77" t="str">
        <f t="shared" ref="AN134" si="494">IFERROR((AC134*$AH$44),"")</f>
        <v/>
      </c>
      <c r="AO134" s="40" t="str">
        <f t="shared" si="482"/>
        <v/>
      </c>
      <c r="AP134" s="40" t="str">
        <f t="shared" ref="AP134:AP138" si="495">IFERROR(STDEV(AI134:AN134), "")</f>
        <v/>
      </c>
      <c r="AQ134" s="15"/>
      <c r="AR134" s="15"/>
    </row>
    <row r="135" spans="3:44">
      <c r="C135" s="199"/>
      <c r="D135" s="14" t="s">
        <v>20</v>
      </c>
      <c r="E135" s="15">
        <f>Data!H91</f>
        <v>0</v>
      </c>
      <c r="F135" s="15">
        <f>Data!I91</f>
        <v>0</v>
      </c>
      <c r="G135" s="15">
        <f>Data!J91</f>
        <v>0</v>
      </c>
      <c r="H135" s="15">
        <f>Data!K91</f>
        <v>0</v>
      </c>
      <c r="I135" s="15">
        <f>Data!L91</f>
        <v>0</v>
      </c>
      <c r="J135" s="15">
        <f>Data!M91</f>
        <v>0</v>
      </c>
      <c r="K135" s="15"/>
      <c r="L135" s="199"/>
      <c r="M135" s="129" t="s">
        <v>20</v>
      </c>
      <c r="N135" s="15" t="str">
        <f t="shared" si="468"/>
        <v xml:space="preserve"> </v>
      </c>
      <c r="O135" s="15" t="str">
        <f t="shared" si="468"/>
        <v xml:space="preserve"> </v>
      </c>
      <c r="P135" s="15" t="str">
        <f t="shared" si="468"/>
        <v xml:space="preserve"> </v>
      </c>
      <c r="Q135" s="15" t="str">
        <f t="shared" si="468"/>
        <v xml:space="preserve"> </v>
      </c>
      <c r="R135" s="15" t="str">
        <f t="shared" si="468"/>
        <v xml:space="preserve"> </v>
      </c>
      <c r="S135" s="15" t="str">
        <f t="shared" si="468"/>
        <v xml:space="preserve"> </v>
      </c>
      <c r="T135" s="20" t="str">
        <f t="shared" si="374"/>
        <v/>
      </c>
      <c r="U135" s="40" t="str">
        <f t="shared" si="375"/>
        <v/>
      </c>
      <c r="V135" s="109"/>
      <c r="W135" s="82">
        <v>30</v>
      </c>
      <c r="X135" s="20" t="str">
        <f>IFERROR(($N$27-N135)/W135,"")</f>
        <v/>
      </c>
      <c r="Y135" s="15" t="str">
        <f>IFERROR(($O$27-O135)/W135,"")</f>
        <v/>
      </c>
      <c r="Z135" s="15" t="str">
        <f>IFERROR(($P$27-P135)/W135,"")</f>
        <v/>
      </c>
      <c r="AA135" s="15" t="str">
        <f>IFERROR(($Q$18-Q135)/W135,"")</f>
        <v/>
      </c>
      <c r="AB135" s="15" t="str">
        <f>IFERROR(($R$27-R135)/W135,"")</f>
        <v/>
      </c>
      <c r="AC135" s="15" t="str">
        <f>IFERROR(($S$27-S135)/W135,"")</f>
        <v/>
      </c>
      <c r="AD135" s="20" t="str">
        <f t="shared" si="488"/>
        <v/>
      </c>
      <c r="AE135" s="40" t="str">
        <f t="shared" si="489"/>
        <v/>
      </c>
      <c r="AG135" s="229"/>
      <c r="AH135" s="77">
        <f>'Sample ID'!$F$18</f>
        <v>0</v>
      </c>
      <c r="AI135" s="77" t="str">
        <f>IFERROR((X135*$AH$45),"")</f>
        <v/>
      </c>
      <c r="AJ135" s="77" t="str">
        <f t="shared" ref="AJ135" si="496">IFERROR((Y135*$AH$45),"")</f>
        <v/>
      </c>
      <c r="AK135" s="77" t="str">
        <f t="shared" ref="AK135" si="497">IFERROR((Z135*$AH$45),"")</f>
        <v/>
      </c>
      <c r="AL135" s="77" t="str">
        <f t="shared" ref="AL135" si="498">IFERROR((AA135*$AH$45),"")</f>
        <v/>
      </c>
      <c r="AM135" s="77" t="str">
        <f t="shared" ref="AM135" si="499">IFERROR((AB135*$AH$45),"")</f>
        <v/>
      </c>
      <c r="AN135" s="77" t="str">
        <f t="shared" ref="AN135" si="500">IFERROR((AC135*$AH$45),"")</f>
        <v/>
      </c>
      <c r="AO135" s="40" t="str">
        <f t="shared" si="482"/>
        <v/>
      </c>
      <c r="AP135" s="40" t="str">
        <f t="shared" si="495"/>
        <v/>
      </c>
      <c r="AQ135" s="15"/>
      <c r="AR135" s="15"/>
    </row>
    <row r="136" spans="3:44">
      <c r="C136" s="199"/>
      <c r="D136" s="14" t="s">
        <v>21</v>
      </c>
      <c r="E136" s="15">
        <f>Data!H92</f>
        <v>0</v>
      </c>
      <c r="F136" s="15">
        <f>Data!I92</f>
        <v>0</v>
      </c>
      <c r="G136" s="15">
        <f>Data!J92</f>
        <v>0</v>
      </c>
      <c r="H136" s="15">
        <f>Data!K92</f>
        <v>0</v>
      </c>
      <c r="I136" s="15">
        <f>Data!L92</f>
        <v>0</v>
      </c>
      <c r="J136" s="15">
        <f>Data!M92</f>
        <v>0</v>
      </c>
      <c r="K136" s="15"/>
      <c r="L136" s="199"/>
      <c r="M136" s="129" t="s">
        <v>21</v>
      </c>
      <c r="N136" s="15" t="str">
        <f t="shared" si="468"/>
        <v xml:space="preserve"> </v>
      </c>
      <c r="O136" s="15" t="str">
        <f t="shared" si="468"/>
        <v xml:space="preserve"> </v>
      </c>
      <c r="P136" s="15" t="str">
        <f t="shared" si="468"/>
        <v xml:space="preserve"> </v>
      </c>
      <c r="Q136" s="15" t="str">
        <f t="shared" si="468"/>
        <v xml:space="preserve"> </v>
      </c>
      <c r="R136" s="15" t="str">
        <f t="shared" si="468"/>
        <v xml:space="preserve"> </v>
      </c>
      <c r="S136" s="15" t="str">
        <f t="shared" si="468"/>
        <v xml:space="preserve"> </v>
      </c>
      <c r="T136" s="20" t="str">
        <f t="shared" si="374"/>
        <v/>
      </c>
      <c r="U136" s="40" t="str">
        <f t="shared" si="375"/>
        <v/>
      </c>
      <c r="V136" s="109"/>
      <c r="W136" s="82">
        <v>30</v>
      </c>
      <c r="X136" s="20" t="str">
        <f>IFERROR(($N$28-N136)/W136,"")</f>
        <v/>
      </c>
      <c r="Y136" s="15" t="str">
        <f>IFERROR(($O$28-O136)/W136,"")</f>
        <v/>
      </c>
      <c r="Z136" s="15" t="str">
        <f>IFERROR(($P$28-P136)/W136,"")</f>
        <v/>
      </c>
      <c r="AA136" s="15" t="str">
        <f>IFERROR(($Q$19-Q136)/W136,"")</f>
        <v/>
      </c>
      <c r="AB136" s="15" t="str">
        <f>IFERROR(($R$28-R136)/W136,"")</f>
        <v/>
      </c>
      <c r="AC136" s="15" t="str">
        <f>IFERROR(($S$28-S136)/W136,"")</f>
        <v/>
      </c>
      <c r="AD136" s="20" t="str">
        <f t="shared" si="488"/>
        <v/>
      </c>
      <c r="AE136" s="40" t="str">
        <f t="shared" si="489"/>
        <v/>
      </c>
      <c r="AG136" s="229"/>
      <c r="AH136" s="77">
        <f>'Sample ID'!$F$19</f>
        <v>0</v>
      </c>
      <c r="AI136" s="77" t="str">
        <f>IFERROR((X136*$AH$46),"")</f>
        <v/>
      </c>
      <c r="AJ136" s="77" t="str">
        <f t="shared" ref="AJ136" si="501">IFERROR((Y136*$AH$46),"")</f>
        <v/>
      </c>
      <c r="AK136" s="77" t="str">
        <f t="shared" ref="AK136" si="502">IFERROR((Z136*$AH$46),"")</f>
        <v/>
      </c>
      <c r="AL136" s="77" t="str">
        <f t="shared" ref="AL136" si="503">IFERROR((AA136*$AH$46),"")</f>
        <v/>
      </c>
      <c r="AM136" s="77" t="str">
        <f t="shared" ref="AM136" si="504">IFERROR((AB136*$AH$46),"")</f>
        <v/>
      </c>
      <c r="AN136" s="77" t="str">
        <f t="shared" ref="AN136" si="505">IFERROR((AC136*$AH$46),"")</f>
        <v/>
      </c>
      <c r="AO136" s="40" t="str">
        <f t="shared" si="482"/>
        <v/>
      </c>
      <c r="AP136" s="40" t="str">
        <f t="shared" si="495"/>
        <v/>
      </c>
      <c r="AQ136" s="15"/>
      <c r="AR136" s="15"/>
    </row>
    <row r="137" spans="3:44">
      <c r="C137" s="199"/>
      <c r="D137" s="14" t="s">
        <v>22</v>
      </c>
      <c r="E137" s="15">
        <f>Data!H93</f>
        <v>0</v>
      </c>
      <c r="F137" s="15">
        <f>Data!I93</f>
        <v>0</v>
      </c>
      <c r="G137" s="15">
        <f>Data!J93</f>
        <v>0</v>
      </c>
      <c r="H137" s="15">
        <f>Data!K93</f>
        <v>0</v>
      </c>
      <c r="I137" s="15">
        <f>Data!L93</f>
        <v>0</v>
      </c>
      <c r="J137" s="15">
        <f>Data!M93</f>
        <v>0</v>
      </c>
      <c r="K137" s="15"/>
      <c r="L137" s="199"/>
      <c r="M137" s="129" t="s">
        <v>22</v>
      </c>
      <c r="N137" s="15" t="str">
        <f t="shared" si="468"/>
        <v xml:space="preserve"> </v>
      </c>
      <c r="O137" s="15" t="str">
        <f t="shared" si="468"/>
        <v xml:space="preserve"> </v>
      </c>
      <c r="P137" s="15" t="str">
        <f t="shared" si="468"/>
        <v xml:space="preserve"> </v>
      </c>
      <c r="Q137" s="15" t="str">
        <f t="shared" si="468"/>
        <v xml:space="preserve"> </v>
      </c>
      <c r="R137" s="15" t="str">
        <f t="shared" si="468"/>
        <v xml:space="preserve"> </v>
      </c>
      <c r="S137" s="15" t="str">
        <f t="shared" si="468"/>
        <v xml:space="preserve"> </v>
      </c>
      <c r="T137" s="20" t="str">
        <f t="shared" si="374"/>
        <v/>
      </c>
      <c r="U137" s="40" t="str">
        <f t="shared" si="375"/>
        <v/>
      </c>
      <c r="V137" s="109"/>
      <c r="W137" s="82">
        <v>30</v>
      </c>
      <c r="X137" s="20" t="str">
        <f>IFERROR(($N$29-N137)/W137,"")</f>
        <v/>
      </c>
      <c r="Y137" s="15" t="str">
        <f>IFERROR(($O$29-O137)/W137,"")</f>
        <v/>
      </c>
      <c r="Z137" s="15" t="str">
        <f>IFERROR(($P$29-P137)/W137,"")</f>
        <v/>
      </c>
      <c r="AA137" s="15" t="str">
        <f>IFERROR(($Q$20-Q137)/W137,"")</f>
        <v/>
      </c>
      <c r="AB137" s="15" t="str">
        <f>IFERROR(($R$29-R137)/W137,"")</f>
        <v/>
      </c>
      <c r="AC137" s="15" t="str">
        <f>IFERROR(($S$29-S137)/W137,"")</f>
        <v/>
      </c>
      <c r="AD137" s="20" t="str">
        <f t="shared" si="488"/>
        <v/>
      </c>
      <c r="AE137" s="40" t="str">
        <f t="shared" si="489"/>
        <v/>
      </c>
      <c r="AG137" s="229"/>
      <c r="AH137" s="77">
        <f>'Sample ID'!$F$20</f>
        <v>0</v>
      </c>
      <c r="AI137" s="77" t="str">
        <f>IFERROR((X137*$AH$47),"")</f>
        <v/>
      </c>
      <c r="AJ137" s="77" t="str">
        <f t="shared" ref="AJ137" si="506">IFERROR((Y137*$AH$47),"")</f>
        <v/>
      </c>
      <c r="AK137" s="77" t="str">
        <f t="shared" ref="AK137" si="507">IFERROR((Z137*$AH$47),"")</f>
        <v/>
      </c>
      <c r="AL137" s="77" t="str">
        <f t="shared" ref="AL137" si="508">IFERROR((AA137*$AH$47),"")</f>
        <v/>
      </c>
      <c r="AM137" s="77" t="str">
        <f t="shared" ref="AM137" si="509">IFERROR((AB137*$AH$47),"")</f>
        <v/>
      </c>
      <c r="AN137" s="77" t="str">
        <f t="shared" ref="AN137" si="510">IFERROR((AC137*$AH$47),"")</f>
        <v/>
      </c>
      <c r="AO137" s="40" t="str">
        <f t="shared" si="482"/>
        <v/>
      </c>
      <c r="AP137" s="40" t="str">
        <f t="shared" si="495"/>
        <v/>
      </c>
      <c r="AQ137" s="15"/>
      <c r="AR137" s="15"/>
    </row>
    <row r="138" spans="3:44">
      <c r="C138" s="199"/>
      <c r="D138" s="14" t="s">
        <v>23</v>
      </c>
      <c r="E138" s="15">
        <f>Data!H94</f>
        <v>0</v>
      </c>
      <c r="F138" s="15">
        <f>Data!I94</f>
        <v>0</v>
      </c>
      <c r="G138" s="15">
        <f>Data!J94</f>
        <v>0</v>
      </c>
      <c r="H138" s="15">
        <f>Data!K94</f>
        <v>0</v>
      </c>
      <c r="I138" s="15">
        <f>Data!L94</f>
        <v>0</v>
      </c>
      <c r="J138" s="15">
        <f>Data!M94</f>
        <v>0</v>
      </c>
      <c r="K138" s="15"/>
      <c r="L138" s="199"/>
      <c r="M138" s="129" t="s">
        <v>23</v>
      </c>
      <c r="N138" s="15" t="str">
        <f t="shared" si="468"/>
        <v xml:space="preserve"> </v>
      </c>
      <c r="O138" s="15" t="str">
        <f t="shared" si="468"/>
        <v xml:space="preserve"> </v>
      </c>
      <c r="P138" s="15" t="str">
        <f t="shared" si="468"/>
        <v xml:space="preserve"> </v>
      </c>
      <c r="Q138" s="15" t="str">
        <f t="shared" si="468"/>
        <v xml:space="preserve"> </v>
      </c>
      <c r="R138" s="15" t="str">
        <f t="shared" si="468"/>
        <v xml:space="preserve"> </v>
      </c>
      <c r="S138" s="15" t="str">
        <f t="shared" si="468"/>
        <v xml:space="preserve"> </v>
      </c>
      <c r="T138" s="20" t="str">
        <f t="shared" si="374"/>
        <v/>
      </c>
      <c r="U138" s="40" t="str">
        <f t="shared" si="375"/>
        <v/>
      </c>
      <c r="V138" s="109"/>
      <c r="W138" s="82">
        <v>30</v>
      </c>
      <c r="X138" s="20" t="str">
        <f>IFERROR(($N$30-N138)/W138,"")</f>
        <v/>
      </c>
      <c r="Y138" s="15" t="str">
        <f>IFERROR(($O$30-O138)/W138,"")</f>
        <v/>
      </c>
      <c r="Z138" s="15" t="str">
        <f>IFERROR(($P$30-P138)/W138,"")</f>
        <v/>
      </c>
      <c r="AA138" s="15" t="str">
        <f>IFERROR(($Q$21-Q138)/W138,"")</f>
        <v/>
      </c>
      <c r="AB138" s="17" t="str">
        <f>IFERROR(($R$30-R138)/W138,"")</f>
        <v/>
      </c>
      <c r="AC138" s="15" t="str">
        <f>IFERROR(($S$30-S138)/W138,"")</f>
        <v/>
      </c>
      <c r="AD138" s="20" t="str">
        <f>IFERROR(AVERAGE(X138:AC138), "")</f>
        <v/>
      </c>
      <c r="AE138" s="40" t="str">
        <f t="shared" si="489"/>
        <v/>
      </c>
      <c r="AG138" s="230"/>
      <c r="AH138" s="77">
        <f>'Sample ID'!$F$21</f>
        <v>0</v>
      </c>
      <c r="AI138" s="77" t="str">
        <f>IFERROR((X138*$AH$48),"")</f>
        <v/>
      </c>
      <c r="AJ138" s="77" t="str">
        <f t="shared" ref="AJ138" si="511">IFERROR((Y138*$AH$48),"")</f>
        <v/>
      </c>
      <c r="AK138" s="77" t="str">
        <f t="shared" ref="AK138" si="512">IFERROR((Z138*$AH$48),"")</f>
        <v/>
      </c>
      <c r="AL138" s="77" t="str">
        <f t="shared" ref="AL138" si="513">IFERROR((AA138*$AH$48),"")</f>
        <v/>
      </c>
      <c r="AM138" s="77" t="str">
        <f t="shared" ref="AM138" si="514">IFERROR((AB138*$AH$48),"")</f>
        <v/>
      </c>
      <c r="AN138" s="77" t="str">
        <f t="shared" ref="AN138" si="515">IFERROR((AC138*$AH$48),"")</f>
        <v/>
      </c>
      <c r="AO138" s="40" t="str">
        <f t="shared" si="482"/>
        <v/>
      </c>
      <c r="AP138" s="40" t="str">
        <f t="shared" si="495"/>
        <v/>
      </c>
      <c r="AQ138" s="15"/>
      <c r="AR138" s="15"/>
    </row>
    <row r="139" spans="3:44">
      <c r="C139" s="232">
        <v>35</v>
      </c>
      <c r="D139" s="50"/>
      <c r="E139" s="58">
        <v>1</v>
      </c>
      <c r="F139" s="58">
        <v>2</v>
      </c>
      <c r="G139" s="59">
        <v>3</v>
      </c>
      <c r="H139" s="56">
        <v>4</v>
      </c>
      <c r="I139" s="56">
        <v>5</v>
      </c>
      <c r="J139" s="57">
        <v>6</v>
      </c>
      <c r="K139" s="27"/>
      <c r="L139" s="232">
        <v>35</v>
      </c>
      <c r="M139" s="38"/>
      <c r="N139" s="59">
        <v>1</v>
      </c>
      <c r="O139" s="38">
        <v>2</v>
      </c>
      <c r="P139" s="38">
        <v>3</v>
      </c>
      <c r="Q139" s="38">
        <v>4</v>
      </c>
      <c r="R139" s="38">
        <v>5</v>
      </c>
      <c r="S139" s="50">
        <v>6</v>
      </c>
      <c r="T139" s="38" t="s">
        <v>24</v>
      </c>
      <c r="U139" s="51" t="s">
        <v>3</v>
      </c>
      <c r="V139" s="109"/>
      <c r="W139" s="38" t="s">
        <v>34</v>
      </c>
      <c r="X139" s="38">
        <v>1</v>
      </c>
      <c r="Y139" s="38">
        <v>2</v>
      </c>
      <c r="Z139" s="38">
        <v>3</v>
      </c>
      <c r="AA139" s="38">
        <v>4</v>
      </c>
      <c r="AB139" s="38">
        <v>5</v>
      </c>
      <c r="AC139" s="50">
        <v>6</v>
      </c>
      <c r="AD139" s="50" t="s">
        <v>49</v>
      </c>
      <c r="AE139" s="51" t="s">
        <v>3</v>
      </c>
      <c r="AF139" s="69"/>
      <c r="AG139" s="231">
        <v>35</v>
      </c>
      <c r="AH139" s="38" t="s">
        <v>35</v>
      </c>
      <c r="AI139" s="38"/>
      <c r="AJ139" s="38"/>
      <c r="AK139" s="38"/>
      <c r="AL139" s="38"/>
      <c r="AM139" s="38"/>
      <c r="AN139" s="38"/>
      <c r="AO139" s="52" t="s">
        <v>36</v>
      </c>
      <c r="AP139" s="51" t="s">
        <v>3</v>
      </c>
      <c r="AQ139" s="15"/>
      <c r="AR139" s="15"/>
    </row>
    <row r="140" spans="3:44">
      <c r="C140" s="232"/>
      <c r="D140" s="21" t="s">
        <v>16</v>
      </c>
      <c r="E140" s="22">
        <f>Data!B99</f>
        <v>1.9370000000000001</v>
      </c>
      <c r="F140" s="22">
        <f>Data!C99</f>
        <v>1.915</v>
      </c>
      <c r="G140" s="22">
        <f>Data!D99</f>
        <v>1.9350000000000001</v>
      </c>
      <c r="H140" s="22">
        <f>Data!E99</f>
        <v>1.9370000000000001</v>
      </c>
      <c r="I140" s="22">
        <f>Data!F99</f>
        <v>1.915</v>
      </c>
      <c r="J140" s="22">
        <f>Data!G99</f>
        <v>1.9350000000000001</v>
      </c>
      <c r="K140" s="22"/>
      <c r="L140" s="232"/>
      <c r="M140" s="130" t="s">
        <v>16</v>
      </c>
      <c r="N140" s="15">
        <f t="shared" ref="N140:S147" si="516">IF(((E140-$P$11)/$P$10)&gt;0,((E140-$P$11)/$P$10)," ")</f>
        <v>1.6982691306611144</v>
      </c>
      <c r="O140" s="15">
        <f t="shared" si="516"/>
        <v>1.6767959396147845</v>
      </c>
      <c r="P140" s="15">
        <f t="shared" si="516"/>
        <v>1.6963170223841753</v>
      </c>
      <c r="Q140" s="15">
        <f t="shared" si="516"/>
        <v>1.6982691306611144</v>
      </c>
      <c r="R140" s="15">
        <f t="shared" si="516"/>
        <v>1.6767959396147845</v>
      </c>
      <c r="S140" s="15">
        <f t="shared" si="516"/>
        <v>1.6963170223841753</v>
      </c>
      <c r="T140" s="20">
        <f t="shared" si="374"/>
        <v>1.690460697553358</v>
      </c>
      <c r="U140" s="40">
        <f t="shared" si="375"/>
        <v>1.0620617263458121E-2</v>
      </c>
      <c r="V140" s="109"/>
      <c r="W140" s="110">
        <v>35</v>
      </c>
      <c r="X140" s="20">
        <f>IFERROR(($N$14-N140)/W140,"")</f>
        <v>9.4816687737041706E-4</v>
      </c>
      <c r="Y140" s="15">
        <f>IFERROR(($O$14-O140)/W140,"")</f>
        <v>1.5337993604521418E-3</v>
      </c>
      <c r="Z140" s="15">
        <f>IFERROR(($P$14-P140)/W140,"")</f>
        <v>1.7847847103443179E-3</v>
      </c>
      <c r="AA140" s="15">
        <f>IFERROR(($Q$14-Q140)/W140,"")</f>
        <v>9.4816687737041706E-4</v>
      </c>
      <c r="AB140" s="15">
        <f>IFERROR(($R$14-R140)/W140,"")</f>
        <v>1.5337993604521418E-3</v>
      </c>
      <c r="AC140" s="15">
        <f>IFERROR(($S$14-S140)/W140,"")</f>
        <v>1.7847847103443179E-3</v>
      </c>
      <c r="AD140" s="20">
        <f>IFERROR(AVERAGE(X140:AC140), "")</f>
        <v>1.4222503160556254E-3</v>
      </c>
      <c r="AE140" s="40">
        <f>IFERROR(STDEV(X140:AC140), "")</f>
        <v>3.8399452245241041E-4</v>
      </c>
      <c r="AG140" s="229"/>
      <c r="AH140" s="76">
        <f>'Sample ID'!$F$6</f>
        <v>1</v>
      </c>
      <c r="AI140" s="77">
        <f>IFERROR((X140*$AH$32),"")</f>
        <v>9.4816687737041706E-4</v>
      </c>
      <c r="AJ140" s="77">
        <f t="shared" ref="AJ140" si="517">IFERROR((Y140*$AH$32),"")</f>
        <v>1.5337993604521418E-3</v>
      </c>
      <c r="AK140" s="77">
        <f t="shared" ref="AK140" si="518">IFERROR((Z140*$AH$32),"")</f>
        <v>1.7847847103443179E-3</v>
      </c>
      <c r="AL140" s="77">
        <f t="shared" ref="AL140" si="519">IFERROR((AA140*$AH$32),"")</f>
        <v>9.4816687737041706E-4</v>
      </c>
      <c r="AM140" s="77">
        <f t="shared" ref="AM140" si="520">IFERROR((AB140*$AH$32),"")</f>
        <v>1.5337993604521418E-3</v>
      </c>
      <c r="AN140" s="77">
        <f t="shared" ref="AN140" si="521">IFERROR((AC140*$AH$32),"")</f>
        <v>1.7847847103443179E-3</v>
      </c>
      <c r="AO140" s="40">
        <f>IFERROR(AVERAGE(AI140:AN140),"")</f>
        <v>1.4222503160556254E-3</v>
      </c>
      <c r="AP140" s="40">
        <f>IFERROR(STDEV(AI140:AN140), "")</f>
        <v>3.8399452245241041E-4</v>
      </c>
      <c r="AQ140" s="15"/>
      <c r="AR140" s="15"/>
    </row>
    <row r="141" spans="3:44">
      <c r="C141" s="232"/>
      <c r="D141" s="21" t="s">
        <v>17</v>
      </c>
      <c r="E141" s="22">
        <f>Data!B100</f>
        <v>1.9970000000000001</v>
      </c>
      <c r="F141" s="22">
        <f>Data!C100</f>
        <v>2.0049999999999999</v>
      </c>
      <c r="G141" s="22">
        <f>Data!D100</f>
        <v>2.0190000000000001</v>
      </c>
      <c r="H141" s="22">
        <f>Data!E100</f>
        <v>1.9970000000000001</v>
      </c>
      <c r="I141" s="22">
        <f>Data!F100</f>
        <v>2.0049999999999999</v>
      </c>
      <c r="J141" s="22">
        <f>Data!G100</f>
        <v>2.0190000000000001</v>
      </c>
      <c r="K141" s="22"/>
      <c r="L141" s="232"/>
      <c r="M141" s="130" t="s">
        <v>17</v>
      </c>
      <c r="N141" s="15">
        <f t="shared" si="516"/>
        <v>1.7568323789692872</v>
      </c>
      <c r="O141" s="15">
        <f t="shared" si="516"/>
        <v>1.7646408120770436</v>
      </c>
      <c r="P141" s="15">
        <f t="shared" si="516"/>
        <v>1.7783055700156174</v>
      </c>
      <c r="Q141" s="15">
        <f t="shared" si="516"/>
        <v>1.7568323789692872</v>
      </c>
      <c r="R141" s="15">
        <f t="shared" si="516"/>
        <v>1.7646408120770436</v>
      </c>
      <c r="S141" s="15">
        <f t="shared" si="516"/>
        <v>1.7783055700156174</v>
      </c>
      <c r="T141" s="20">
        <f t="shared" si="374"/>
        <v>1.7665929203539825</v>
      </c>
      <c r="U141" s="40">
        <f t="shared" si="375"/>
        <v>9.7214208209178646E-3</v>
      </c>
      <c r="V141" s="109"/>
      <c r="W141" s="110">
        <v>35</v>
      </c>
      <c r="X141" s="20">
        <f>IFERROR(($N$15-N141)/W141,"")</f>
        <v>-9.4816687737041706E-4</v>
      </c>
      <c r="Y141" s="15">
        <f>IFERROR(($O$15-O141)/W141,"")</f>
        <v>-1.2549267494608479E-3</v>
      </c>
      <c r="Z141" s="15">
        <f>IFERROR(($P$15-P141)/W141,"")</f>
        <v>-1.3107012716591093E-3</v>
      </c>
      <c r="AA141" s="15">
        <f>IFERROR(($Q$15-Q141)/W141,"")</f>
        <v>-9.4816687737041706E-4</v>
      </c>
      <c r="AB141" s="15">
        <f>IFERROR(($R$15-R141)/W141,"")</f>
        <v>-1.2549267494608479E-3</v>
      </c>
      <c r="AC141" s="15">
        <f>IFERROR(($S$15-S141)/W141,"")</f>
        <v>-1.3107012716591093E-3</v>
      </c>
      <c r="AD141" s="20">
        <f>IFERROR(AVERAGE(X141:AC141), "")</f>
        <v>-1.171264966163458E-3</v>
      </c>
      <c r="AE141" s="40">
        <f>IFERROR(STDEV(X141:AC141), "")</f>
        <v>1.7460187226703343E-4</v>
      </c>
      <c r="AG141" s="229"/>
      <c r="AH141" s="77">
        <f>'Sample ID'!$F$7</f>
        <v>1</v>
      </c>
      <c r="AI141" s="77">
        <f>IFERROR((X141*$AH$33),"")</f>
        <v>-9.4816687737041706E-4</v>
      </c>
      <c r="AJ141" s="77">
        <f t="shared" ref="AJ141" si="522">IFERROR((Y141*$AH$33),"")</f>
        <v>-1.2549267494608479E-3</v>
      </c>
      <c r="AK141" s="77">
        <f t="shared" ref="AK141" si="523">IFERROR((Z141*$AH$33),"")</f>
        <v>-1.3107012716591093E-3</v>
      </c>
      <c r="AL141" s="77">
        <f t="shared" ref="AL141" si="524">IFERROR((AA141*$AH$33),"")</f>
        <v>-9.4816687737041706E-4</v>
      </c>
      <c r="AM141" s="77">
        <f t="shared" ref="AM141" si="525">IFERROR((AB141*$AH$33),"")</f>
        <v>-1.2549267494608479E-3</v>
      </c>
      <c r="AN141" s="77">
        <f t="shared" ref="AN141" si="526">IFERROR((AC141*$AH$33),"")</f>
        <v>-1.3107012716591093E-3</v>
      </c>
      <c r="AO141" s="40">
        <f t="shared" ref="AO141:AO147" si="527">IFERROR(AVERAGE(AI141:AN141),"")</f>
        <v>-1.171264966163458E-3</v>
      </c>
      <c r="AP141" s="40">
        <f>IFERROR(STDEV(AI141:AN141), "")</f>
        <v>1.7460187226703343E-4</v>
      </c>
      <c r="AQ141" s="15"/>
      <c r="AR141" s="15"/>
    </row>
    <row r="142" spans="3:44">
      <c r="C142" s="232"/>
      <c r="D142" s="21" t="s">
        <v>18</v>
      </c>
      <c r="E142" s="22">
        <f>Data!B101</f>
        <v>2.004</v>
      </c>
      <c r="F142" s="22">
        <f>Data!C101</f>
        <v>2.008</v>
      </c>
      <c r="G142" s="22">
        <f>Data!D101</f>
        <v>2.008</v>
      </c>
      <c r="H142" s="22">
        <f>Data!E101</f>
        <v>2.004</v>
      </c>
      <c r="I142" s="22">
        <f>Data!F101</f>
        <v>2.008</v>
      </c>
      <c r="J142" s="22">
        <f>Data!G101</f>
        <v>2.008</v>
      </c>
      <c r="K142" s="22"/>
      <c r="L142" s="232"/>
      <c r="M142" s="130" t="s">
        <v>18</v>
      </c>
      <c r="N142" s="15">
        <f t="shared" si="516"/>
        <v>1.763664757938574</v>
      </c>
      <c r="O142" s="15">
        <f t="shared" si="516"/>
        <v>1.7675689744924523</v>
      </c>
      <c r="P142" s="15">
        <f t="shared" si="516"/>
        <v>1.7675689744924523</v>
      </c>
      <c r="Q142" s="15">
        <f t="shared" si="516"/>
        <v>1.763664757938574</v>
      </c>
      <c r="R142" s="15">
        <f t="shared" si="516"/>
        <v>1.7675689744924523</v>
      </c>
      <c r="S142" s="15">
        <f t="shared" si="516"/>
        <v>1.7675689744924523</v>
      </c>
      <c r="T142" s="20">
        <f t="shared" si="374"/>
        <v>1.7662675689744927</v>
      </c>
      <c r="U142" s="40">
        <f t="shared" si="375"/>
        <v>2.0161287590877252E-3</v>
      </c>
      <c r="V142" s="109"/>
      <c r="W142" s="110">
        <v>35</v>
      </c>
      <c r="X142" s="20">
        <f>IFERROR(($N$16-N142)/W142,"")</f>
        <v>-6.9718152747824745E-4</v>
      </c>
      <c r="Y142" s="15">
        <f>IFERROR(($O$16-O142)/W142,"")</f>
        <v>-2.2309808879303895E-4</v>
      </c>
      <c r="Z142" s="15">
        <f>IFERROR(($P$16-P142)/W142,"")</f>
        <v>5.2985796088346991E-4</v>
      </c>
      <c r="AA142" s="15">
        <f>IFERROR(($Q$16-Q142)/W142,"")</f>
        <v>-6.9718152747824745E-4</v>
      </c>
      <c r="AB142" s="15">
        <f>IFERROR(($R$16-R142)/W142,"")</f>
        <v>-2.2309808879303895E-4</v>
      </c>
      <c r="AC142" s="15">
        <f>IFERROR(($S$16-S142)/W142,"")</f>
        <v>5.2985796088346991E-4</v>
      </c>
      <c r="AD142" s="20">
        <f>IFERROR(AVERAGE(X142:AC142), "")</f>
        <v>-1.3014055179593883E-4</v>
      </c>
      <c r="AE142" s="40">
        <f t="shared" ref="AE142:AE147" si="528">IFERROR(STDEV(X142:AC142), "")</f>
        <v>5.5345265688271604E-4</v>
      </c>
      <c r="AG142" s="229"/>
      <c r="AH142" s="77">
        <f>'Sample ID'!$F$8</f>
        <v>1</v>
      </c>
      <c r="AI142" s="77">
        <f>IFERROR((X142*$AH$34),"")</f>
        <v>-6.9718152747824745E-4</v>
      </c>
      <c r="AJ142" s="77">
        <f t="shared" ref="AJ142" si="529">IFERROR((Y142*$AH$34),"")</f>
        <v>-2.2309808879303895E-4</v>
      </c>
      <c r="AK142" s="77">
        <f t="shared" ref="AK142" si="530">IFERROR((Z142*$AH$34),"")</f>
        <v>5.2985796088346991E-4</v>
      </c>
      <c r="AL142" s="77">
        <f t="shared" ref="AL142" si="531">IFERROR((AA142*$AH$34),"")</f>
        <v>-6.9718152747824745E-4</v>
      </c>
      <c r="AM142" s="77">
        <f t="shared" ref="AM142" si="532">IFERROR((AB142*$AH$34),"")</f>
        <v>-2.2309808879303895E-4</v>
      </c>
      <c r="AN142" s="77">
        <f t="shared" ref="AN142" si="533">IFERROR((AC142*$AH$34),"")</f>
        <v>5.2985796088346991E-4</v>
      </c>
      <c r="AO142" s="40">
        <f t="shared" si="527"/>
        <v>-1.3014055179593883E-4</v>
      </c>
      <c r="AP142" s="40">
        <f t="shared" ref="AP142:AP147" si="534">IFERROR(STDEV(AI142:AN142), "")</f>
        <v>5.5345265688271604E-4</v>
      </c>
      <c r="AQ142" s="15"/>
      <c r="AR142" s="15"/>
    </row>
    <row r="143" spans="3:44">
      <c r="C143" s="232"/>
      <c r="D143" s="21" t="s">
        <v>19</v>
      </c>
      <c r="E143" s="22">
        <f>Data!B102</f>
        <v>2.2509999999999999</v>
      </c>
      <c r="F143" s="22">
        <f>Data!C102</f>
        <v>2.2690000000000001</v>
      </c>
      <c r="G143" s="22">
        <f>Data!D102</f>
        <v>2.2690000000000001</v>
      </c>
      <c r="H143" s="22">
        <f>Data!E102</f>
        <v>2.2509999999999999</v>
      </c>
      <c r="I143" s="22">
        <f>Data!F102</f>
        <v>2.2690000000000001</v>
      </c>
      <c r="J143" s="22">
        <f>Data!G102</f>
        <v>2.2690000000000001</v>
      </c>
      <c r="K143" s="22"/>
      <c r="L143" s="232"/>
      <c r="M143" s="130" t="s">
        <v>19</v>
      </c>
      <c r="N143" s="15">
        <f t="shared" si="516"/>
        <v>2.0047501301405521</v>
      </c>
      <c r="O143" s="15">
        <f t="shared" si="516"/>
        <v>2.022319104633004</v>
      </c>
      <c r="P143" s="15">
        <f t="shared" si="516"/>
        <v>2.022319104633004</v>
      </c>
      <c r="Q143" s="15">
        <f t="shared" si="516"/>
        <v>2.0047501301405521</v>
      </c>
      <c r="R143" s="15">
        <f t="shared" si="516"/>
        <v>2.022319104633004</v>
      </c>
      <c r="S143" s="15">
        <f t="shared" si="516"/>
        <v>2.022319104633004</v>
      </c>
      <c r="T143" s="20">
        <f t="shared" si="374"/>
        <v>2.0164627798021866</v>
      </c>
      <c r="U143" s="40">
        <f t="shared" si="375"/>
        <v>9.0725794158945348E-3</v>
      </c>
      <c r="V143" s="109"/>
      <c r="W143" s="110">
        <v>35</v>
      </c>
      <c r="X143" s="20">
        <f>IFERROR(($N$17-N143)/W143,"")</f>
        <v>-5.6053394809251166E-3</v>
      </c>
      <c r="Y143" s="15">
        <f>IFERROR(($O$17-O143)/W143,"")</f>
        <v>-6.1909719640068353E-3</v>
      </c>
      <c r="Z143" s="15">
        <f>IFERROR(($P$17-P143)/W143,"")</f>
        <v>-5.9678738752137967E-3</v>
      </c>
      <c r="AA143" s="15">
        <f>IFERROR(($Q$17-Q143)/W143,"")</f>
        <v>-5.6053394809251166E-3</v>
      </c>
      <c r="AB143" s="15">
        <f>IFERROR(($R$17-R143)/W143,"")</f>
        <v>-6.1909719640068353E-3</v>
      </c>
      <c r="AC143" s="15">
        <f>IFERROR(($S$17-S143)/W143,"")</f>
        <v>-5.9678738752137967E-3</v>
      </c>
      <c r="AD143" s="20">
        <f t="shared" ref="AD143:AD147" si="535">IFERROR(AVERAGE(X143:AC143), "")</f>
        <v>-5.9213951067152498E-3</v>
      </c>
      <c r="AE143" s="40">
        <f t="shared" si="528"/>
        <v>2.6436574400019535E-4</v>
      </c>
      <c r="AG143" s="229"/>
      <c r="AH143" s="77">
        <f>'Sample ID'!$F$9</f>
        <v>1</v>
      </c>
      <c r="AI143" s="77">
        <f>IFERROR((X143*$AH$35),"")</f>
        <v>-5.6053394809251166E-3</v>
      </c>
      <c r="AJ143" s="77">
        <f t="shared" ref="AJ143" si="536">IFERROR((Y143*$AH$35),"")</f>
        <v>-6.1909719640068353E-3</v>
      </c>
      <c r="AK143" s="77">
        <f t="shared" ref="AK143" si="537">IFERROR((Z143*$AH$35),"")</f>
        <v>-5.9678738752137967E-3</v>
      </c>
      <c r="AL143" s="77">
        <f t="shared" ref="AL143" si="538">IFERROR((AA143*$AH$35),"")</f>
        <v>-5.6053394809251166E-3</v>
      </c>
      <c r="AM143" s="77">
        <f t="shared" ref="AM143" si="539">IFERROR((AB143*$AH$35),"")</f>
        <v>-6.1909719640068353E-3</v>
      </c>
      <c r="AN143" s="77">
        <f t="shared" ref="AN143" si="540">IFERROR((AC143*$AH$35),"")</f>
        <v>-5.9678738752137967E-3</v>
      </c>
      <c r="AO143" s="40">
        <f t="shared" si="527"/>
        <v>-5.9213951067152498E-3</v>
      </c>
      <c r="AP143" s="40">
        <f t="shared" si="534"/>
        <v>2.6436574400019535E-4</v>
      </c>
      <c r="AQ143" s="15"/>
      <c r="AR143" s="15"/>
    </row>
    <row r="144" spans="3:44">
      <c r="C144" s="232"/>
      <c r="D144" s="21" t="s">
        <v>20</v>
      </c>
      <c r="E144" s="22">
        <f>Data!B103</f>
        <v>2.1709999999999998</v>
      </c>
      <c r="F144" s="22">
        <f>Data!C103</f>
        <v>2.19</v>
      </c>
      <c r="G144" s="22">
        <f>Data!D103</f>
        <v>2.198</v>
      </c>
      <c r="H144" s="22">
        <f>Data!E103</f>
        <v>2.1709999999999998</v>
      </c>
      <c r="I144" s="22">
        <f>Data!F103</f>
        <v>2.19</v>
      </c>
      <c r="J144" s="22">
        <f>Data!G103</f>
        <v>2.198</v>
      </c>
      <c r="K144" s="22"/>
      <c r="L144" s="232"/>
      <c r="M144" s="130" t="s">
        <v>20</v>
      </c>
      <c r="N144" s="15">
        <f t="shared" si="516"/>
        <v>1.9266657990629883</v>
      </c>
      <c r="O144" s="15">
        <f t="shared" si="516"/>
        <v>1.9452108276939097</v>
      </c>
      <c r="P144" s="15">
        <f t="shared" si="516"/>
        <v>1.9530192608016661</v>
      </c>
      <c r="Q144" s="15">
        <f t="shared" si="516"/>
        <v>1.9266657990629883</v>
      </c>
      <c r="R144" s="15">
        <f t="shared" si="516"/>
        <v>1.9452108276939097</v>
      </c>
      <c r="S144" s="15">
        <f t="shared" si="516"/>
        <v>1.9530192608016661</v>
      </c>
      <c r="T144" s="20">
        <f t="shared" si="374"/>
        <v>1.9416319625195213</v>
      </c>
      <c r="U144" s="40">
        <f t="shared" si="375"/>
        <v>1.2107268671515509E-2</v>
      </c>
      <c r="V144" s="109"/>
      <c r="W144" s="110">
        <v>35</v>
      </c>
      <c r="X144" s="20">
        <f>IFERROR(($N$18-N144)/W144,"")</f>
        <v>-2.2309808879303829E-3</v>
      </c>
      <c r="Y144" s="15">
        <f>IFERROR(($O$18-O144)/W144,"")</f>
        <v>-3.4301331151929699E-3</v>
      </c>
      <c r="Z144" s="15">
        <f>IFERROR(($P$18-P144)/W144,"")</f>
        <v>-3.0397114598051597E-3</v>
      </c>
      <c r="AA144" s="15">
        <f>IFERROR(($Q$18-Q144)/W144,"")</f>
        <v>-2.2309808879303829E-3</v>
      </c>
      <c r="AB144" s="15">
        <f>IFERROR(($R$18-R144)/W144,"")</f>
        <v>-3.4301331151929699E-3</v>
      </c>
      <c r="AC144" s="15">
        <f>IFERROR(($S$18-S144)/W144,"")</f>
        <v>-3.0397114598051597E-3</v>
      </c>
      <c r="AD144" s="20">
        <f t="shared" si="535"/>
        <v>-2.9002751543095039E-3</v>
      </c>
      <c r="AE144" s="40">
        <f t="shared" si="528"/>
        <v>5.4704543029252266E-4</v>
      </c>
      <c r="AG144" s="229"/>
      <c r="AH144" s="77">
        <f>'Sample ID'!$F$10</f>
        <v>1</v>
      </c>
      <c r="AI144" s="77">
        <f>IFERROR((X144*$AH$36),"")</f>
        <v>-2.2309808879303829E-3</v>
      </c>
      <c r="AJ144" s="77">
        <f t="shared" ref="AJ144" si="541">IFERROR((Y144*$AH$36),"")</f>
        <v>-3.4301331151929699E-3</v>
      </c>
      <c r="AK144" s="77">
        <f t="shared" ref="AK144" si="542">IFERROR((Z144*$AH$36),"")</f>
        <v>-3.0397114598051597E-3</v>
      </c>
      <c r="AL144" s="77">
        <f t="shared" ref="AL144" si="543">IFERROR((AA144*$AH$36),"")</f>
        <v>-2.2309808879303829E-3</v>
      </c>
      <c r="AM144" s="77">
        <f t="shared" ref="AM144" si="544">IFERROR((AB144*$AH$36),"")</f>
        <v>-3.4301331151929699E-3</v>
      </c>
      <c r="AN144" s="77">
        <f t="shared" ref="AN144" si="545">IFERROR((AC144*$AH$36),"")</f>
        <v>-3.0397114598051597E-3</v>
      </c>
      <c r="AO144" s="40">
        <f t="shared" si="527"/>
        <v>-2.9002751543095039E-3</v>
      </c>
      <c r="AP144" s="40">
        <f t="shared" si="534"/>
        <v>5.4704543029252266E-4</v>
      </c>
      <c r="AQ144" s="15"/>
      <c r="AR144" s="15"/>
    </row>
    <row r="145" spans="3:44">
      <c r="C145" s="232"/>
      <c r="D145" s="21" t="s">
        <v>21</v>
      </c>
      <c r="E145" s="22">
        <f>Data!B104</f>
        <v>1.49</v>
      </c>
      <c r="F145" s="22">
        <f>Data!C104</f>
        <v>1.512</v>
      </c>
      <c r="G145" s="22">
        <f>Data!D104</f>
        <v>1.4550000000000001</v>
      </c>
      <c r="H145" s="22">
        <f>Data!E104</f>
        <v>1.49</v>
      </c>
      <c r="I145" s="22">
        <f>Data!F104</f>
        <v>1.512</v>
      </c>
      <c r="J145" s="22">
        <f>Data!G104</f>
        <v>1.4550000000000001</v>
      </c>
      <c r="K145" s="22"/>
      <c r="L145" s="232"/>
      <c r="M145" s="130" t="s">
        <v>21</v>
      </c>
      <c r="N145" s="15">
        <f t="shared" si="516"/>
        <v>1.2619729307652268</v>
      </c>
      <c r="O145" s="15">
        <f t="shared" si="516"/>
        <v>1.2834461218115567</v>
      </c>
      <c r="P145" s="15">
        <f t="shared" si="516"/>
        <v>1.2278110359187926</v>
      </c>
      <c r="Q145" s="15">
        <f t="shared" si="516"/>
        <v>1.2619729307652268</v>
      </c>
      <c r="R145" s="15">
        <f t="shared" si="516"/>
        <v>1.2834461218115567</v>
      </c>
      <c r="S145" s="15">
        <f t="shared" si="516"/>
        <v>1.2278110359187926</v>
      </c>
      <c r="T145" s="20">
        <f t="shared" si="374"/>
        <v>1.2577433628318586</v>
      </c>
      <c r="U145" s="40">
        <f t="shared" si="375"/>
        <v>2.5095539512049417E-2</v>
      </c>
      <c r="V145" s="109"/>
      <c r="W145" s="110">
        <v>35</v>
      </c>
      <c r="X145" s="20">
        <f>IFERROR(($N$19-N145)/W145,"")</f>
        <v>1.1350115267345881E-2</v>
      </c>
      <c r="Y145" s="15">
        <f>IFERROR(($O$19-O145)/W145,"")</f>
        <v>1.1768424183832829E-2</v>
      </c>
      <c r="Z145" s="15">
        <f>IFERROR(($P$19-P145)/W145,"")</f>
        <v>1.2270394883617168E-2</v>
      </c>
      <c r="AA145" s="15">
        <f>IFERROR(($Q$19-Q145)/W145,"")</f>
        <v>1.1350115267345881E-2</v>
      </c>
      <c r="AB145" s="15">
        <f>IFERROR(($R$19-R145)/W145,"")</f>
        <v>1.1768424183832829E-2</v>
      </c>
      <c r="AC145" s="15">
        <f>IFERROR(($S$19-S145)/W145,"")</f>
        <v>1.2270394883617168E-2</v>
      </c>
      <c r="AD145" s="20">
        <f t="shared" si="535"/>
        <v>1.1796311444931958E-2</v>
      </c>
      <c r="AE145" s="40">
        <f t="shared" si="528"/>
        <v>4.1212805537096367E-4</v>
      </c>
      <c r="AG145" s="229"/>
      <c r="AH145" s="77">
        <f>'Sample ID'!$F$11</f>
        <v>0</v>
      </c>
      <c r="AI145" s="77">
        <f>IFERROR((X145*$AH$37),"")</f>
        <v>0</v>
      </c>
      <c r="AJ145" s="77">
        <f t="shared" ref="AJ145" si="546">IFERROR((Y145*$AH$37),"")</f>
        <v>0</v>
      </c>
      <c r="AK145" s="77">
        <f t="shared" ref="AK145" si="547">IFERROR((Z145*$AH$37),"")</f>
        <v>0</v>
      </c>
      <c r="AL145" s="77">
        <f t="shared" ref="AL145" si="548">IFERROR((AA145*$AH$37),"")</f>
        <v>0</v>
      </c>
      <c r="AM145" s="77">
        <f t="shared" ref="AM145" si="549">IFERROR((AB145*$AH$37),"")</f>
        <v>0</v>
      </c>
      <c r="AN145" s="77">
        <f t="shared" ref="AN145" si="550">IFERROR((AC145*$AH$37),"")</f>
        <v>0</v>
      </c>
      <c r="AO145" s="40">
        <f t="shared" si="527"/>
        <v>0</v>
      </c>
      <c r="AP145" s="40">
        <f t="shared" si="534"/>
        <v>0</v>
      </c>
      <c r="AQ145" s="15"/>
      <c r="AR145" s="15"/>
    </row>
    <row r="146" spans="3:44">
      <c r="C146" s="232"/>
      <c r="D146" s="21" t="s">
        <v>22</v>
      </c>
      <c r="E146" s="22">
        <f>Data!B105</f>
        <v>1.726</v>
      </c>
      <c r="F146" s="22">
        <f>Data!C105</f>
        <v>1.7190000000000001</v>
      </c>
      <c r="G146" s="22">
        <f>Data!D105</f>
        <v>1.7330000000000001</v>
      </c>
      <c r="H146" s="22">
        <f>Data!E105</f>
        <v>1.726</v>
      </c>
      <c r="I146" s="22">
        <f>Data!F105</f>
        <v>1.7190000000000001</v>
      </c>
      <c r="J146" s="22">
        <f>Data!G105</f>
        <v>1.7330000000000001</v>
      </c>
      <c r="K146" s="22"/>
      <c r="L146" s="232"/>
      <c r="M146" s="130" t="s">
        <v>22</v>
      </c>
      <c r="N146" s="15">
        <f t="shared" si="516"/>
        <v>1.4923217074440398</v>
      </c>
      <c r="O146" s="15">
        <f t="shared" si="516"/>
        <v>1.4854893284747532</v>
      </c>
      <c r="P146" s="15">
        <f t="shared" si="516"/>
        <v>1.4991540864133268</v>
      </c>
      <c r="Q146" s="15">
        <f t="shared" si="516"/>
        <v>1.4923217074440398</v>
      </c>
      <c r="R146" s="15">
        <f t="shared" si="516"/>
        <v>1.4854893284747532</v>
      </c>
      <c r="S146" s="15">
        <f t="shared" si="516"/>
        <v>1.4991540864133268</v>
      </c>
      <c r="T146" s="20">
        <f t="shared" ref="T146:T174" si="551">IFERROR(AVERAGE(N146:S146),"")</f>
        <v>1.49232170744404</v>
      </c>
      <c r="U146" s="40">
        <f t="shared" ref="U146:U174" si="552">IFERROR(STDEV(N146:S146),"")</f>
        <v>6.1110655293460841E-3</v>
      </c>
      <c r="V146" s="109"/>
      <c r="W146" s="110">
        <v>35</v>
      </c>
      <c r="X146" s="20">
        <f>IFERROR(($N$20-N146)/W146,"")</f>
        <v>5.0475942589425227E-3</v>
      </c>
      <c r="Y146" s="15">
        <f>IFERROR(($O$20-O146)/W146,"")</f>
        <v>5.1033687811407715E-3</v>
      </c>
      <c r="Z146" s="15">
        <f>IFERROR(($P$20-P146)/W146,"")</f>
        <v>5.0475942589425097E-3</v>
      </c>
      <c r="AA146" s="15">
        <f>IFERROR(($Q$20-Q146)/W146,"")</f>
        <v>5.0475942589425227E-3</v>
      </c>
      <c r="AB146" s="15">
        <f>IFERROR(($R$20-R146)/W146,"")</f>
        <v>5.1033687811407715E-3</v>
      </c>
      <c r="AC146" s="15">
        <f>IFERROR(($S$20-S146)/W146,"")</f>
        <v>5.0475942589425097E-3</v>
      </c>
      <c r="AD146" s="20">
        <f t="shared" si="535"/>
        <v>5.0661857663419343E-3</v>
      </c>
      <c r="AE146" s="40">
        <f t="shared" si="528"/>
        <v>2.880183941553583E-5</v>
      </c>
      <c r="AG146" s="229"/>
      <c r="AH146" s="77">
        <f>'Sample ID'!$F$12</f>
        <v>0</v>
      </c>
      <c r="AI146" s="77">
        <f>IFERROR((X146*$AH$38),"")</f>
        <v>0</v>
      </c>
      <c r="AJ146" s="77">
        <f t="shared" ref="AJ146" si="553">IFERROR((Y146*$AH$38),"")</f>
        <v>0</v>
      </c>
      <c r="AK146" s="77">
        <f t="shared" ref="AK146" si="554">IFERROR((Z146*$AH$38),"")</f>
        <v>0</v>
      </c>
      <c r="AL146" s="77">
        <f t="shared" ref="AL146" si="555">IFERROR((AA146*$AH$38),"")</f>
        <v>0</v>
      </c>
      <c r="AM146" s="77">
        <f t="shared" ref="AM146" si="556">IFERROR((AB146*$AH$38),"")</f>
        <v>0</v>
      </c>
      <c r="AN146" s="77">
        <f t="shared" ref="AN146" si="557">IFERROR((AC146*$AH$38),"")</f>
        <v>0</v>
      </c>
      <c r="AO146" s="40">
        <f t="shared" si="527"/>
        <v>0</v>
      </c>
      <c r="AP146" s="40">
        <f t="shared" si="534"/>
        <v>0</v>
      </c>
      <c r="AQ146" s="15"/>
      <c r="AR146" s="15"/>
    </row>
    <row r="147" spans="3:44">
      <c r="C147" s="232"/>
      <c r="D147" s="21" t="s">
        <v>23</v>
      </c>
      <c r="E147" s="22">
        <f>Data!B106</f>
        <v>0</v>
      </c>
      <c r="F147" s="22">
        <f>Data!C106</f>
        <v>0</v>
      </c>
      <c r="G147" s="22">
        <f>Data!D106</f>
        <v>0</v>
      </c>
      <c r="H147" s="22">
        <f>Data!E106</f>
        <v>0</v>
      </c>
      <c r="I147" s="22">
        <f>Data!F106</f>
        <v>0</v>
      </c>
      <c r="J147" s="22">
        <f>Data!G106</f>
        <v>0</v>
      </c>
      <c r="K147" s="22"/>
      <c r="L147" s="232"/>
      <c r="M147" s="130" t="s">
        <v>23</v>
      </c>
      <c r="N147" s="15" t="str">
        <f t="shared" si="516"/>
        <v xml:space="preserve"> </v>
      </c>
      <c r="O147" s="15" t="str">
        <f t="shared" si="516"/>
        <v xml:space="preserve"> </v>
      </c>
      <c r="P147" s="15" t="str">
        <f t="shared" si="516"/>
        <v xml:space="preserve"> </v>
      </c>
      <c r="Q147" s="15" t="str">
        <f t="shared" si="516"/>
        <v xml:space="preserve"> </v>
      </c>
      <c r="R147" s="15" t="str">
        <f t="shared" si="516"/>
        <v xml:space="preserve"> </v>
      </c>
      <c r="S147" s="15" t="str">
        <f t="shared" si="516"/>
        <v xml:space="preserve"> </v>
      </c>
      <c r="T147" s="20" t="str">
        <f t="shared" si="551"/>
        <v/>
      </c>
      <c r="U147" s="40" t="str">
        <f t="shared" si="552"/>
        <v/>
      </c>
      <c r="V147" s="109"/>
      <c r="W147" s="110">
        <v>35</v>
      </c>
      <c r="X147" s="20" t="str">
        <f>IFERROR(($N$21-N147)/W147,"")</f>
        <v/>
      </c>
      <c r="Y147" s="15" t="str">
        <f>IFERROR(($O$21-O147)/W147,"")</f>
        <v/>
      </c>
      <c r="Z147" s="15" t="str">
        <f>IFERROR(($P$21-P147)/W147,"")</f>
        <v/>
      </c>
      <c r="AA147" s="15" t="str">
        <f>IFERROR(($Q$21-Q147)/W147,"")</f>
        <v/>
      </c>
      <c r="AB147" s="15" t="str">
        <f>IFERROR(($R$21-R147)/W147,"")</f>
        <v/>
      </c>
      <c r="AC147" s="15" t="str">
        <f>IFERROR(($S$21-S147)/W147,"")</f>
        <v/>
      </c>
      <c r="AD147" s="20" t="str">
        <f t="shared" si="535"/>
        <v/>
      </c>
      <c r="AE147" s="40" t="str">
        <f t="shared" si="528"/>
        <v/>
      </c>
      <c r="AG147" s="229"/>
      <c r="AH147" s="77">
        <f>'Sample ID'!$F$13</f>
        <v>0</v>
      </c>
      <c r="AI147" s="77" t="str">
        <f>IFERROR((X147*$AH$39),"")</f>
        <v/>
      </c>
      <c r="AJ147" s="77" t="str">
        <f t="shared" ref="AJ147" si="558">IFERROR((Y147*$AH$39),"")</f>
        <v/>
      </c>
      <c r="AK147" s="77" t="str">
        <f t="shared" ref="AK147" si="559">IFERROR((Z147*$AH$39),"")</f>
        <v/>
      </c>
      <c r="AL147" s="77" t="str">
        <f t="shared" ref="AL147" si="560">IFERROR((AA147*$AH$39),"")</f>
        <v/>
      </c>
      <c r="AM147" s="77" t="str">
        <f t="shared" ref="AM147" si="561">IFERROR((AB147*$AH$39),"")</f>
        <v/>
      </c>
      <c r="AN147" s="77" t="str">
        <f t="shared" ref="AN147" si="562">IFERROR((AC147*$AH$39),"")</f>
        <v/>
      </c>
      <c r="AO147" s="40" t="str">
        <f t="shared" si="527"/>
        <v/>
      </c>
      <c r="AP147" s="40" t="str">
        <f t="shared" si="534"/>
        <v/>
      </c>
      <c r="AQ147" s="15"/>
      <c r="AR147" s="15"/>
    </row>
    <row r="148" spans="3:44">
      <c r="C148" s="232"/>
      <c r="D148" s="39"/>
      <c r="E148" s="56">
        <v>7</v>
      </c>
      <c r="F148" s="56">
        <v>8</v>
      </c>
      <c r="G148" s="57">
        <v>9</v>
      </c>
      <c r="H148" s="56">
        <v>10</v>
      </c>
      <c r="I148" s="56">
        <v>11</v>
      </c>
      <c r="J148" s="57">
        <v>12</v>
      </c>
      <c r="K148" s="27"/>
      <c r="L148" s="232"/>
      <c r="M148" s="38"/>
      <c r="N148" s="59">
        <v>7</v>
      </c>
      <c r="O148" s="38">
        <v>8</v>
      </c>
      <c r="P148" s="38">
        <v>9</v>
      </c>
      <c r="Q148" s="38">
        <v>10</v>
      </c>
      <c r="R148" s="38">
        <v>11</v>
      </c>
      <c r="S148" s="50">
        <v>12</v>
      </c>
      <c r="T148" s="38" t="s">
        <v>24</v>
      </c>
      <c r="U148" s="51" t="s">
        <v>3</v>
      </c>
      <c r="V148" s="109"/>
      <c r="W148" s="98"/>
      <c r="X148" s="38">
        <v>7</v>
      </c>
      <c r="Y148" s="38">
        <v>8</v>
      </c>
      <c r="Z148" s="38">
        <v>9</v>
      </c>
      <c r="AA148" s="38">
        <v>10</v>
      </c>
      <c r="AB148" s="38">
        <v>11</v>
      </c>
      <c r="AC148" s="50">
        <v>12</v>
      </c>
      <c r="AD148" s="50" t="s">
        <v>49</v>
      </c>
      <c r="AE148" s="51" t="s">
        <v>3</v>
      </c>
      <c r="AG148" s="229"/>
      <c r="AH148" s="119"/>
      <c r="AI148" s="119"/>
      <c r="AJ148" s="119"/>
      <c r="AK148" s="119"/>
      <c r="AL148" s="119"/>
      <c r="AM148" s="119"/>
      <c r="AN148" s="119"/>
      <c r="AO148" s="100" t="str">
        <f>IFERROR(#REF!/(#REF!/W148), " ")</f>
        <v xml:space="preserve"> </v>
      </c>
      <c r="AP148" s="51" t="s">
        <v>3</v>
      </c>
      <c r="AQ148" s="15"/>
      <c r="AR148" s="15"/>
    </row>
    <row r="149" spans="3:44">
      <c r="C149" s="232"/>
      <c r="D149" s="21" t="s">
        <v>16</v>
      </c>
      <c r="E149" s="22">
        <f>Data!H99</f>
        <v>0</v>
      </c>
      <c r="F149" s="22">
        <f>Data!I99</f>
        <v>0</v>
      </c>
      <c r="G149" s="22">
        <f>Data!J99</f>
        <v>0</v>
      </c>
      <c r="H149" s="22">
        <f>Data!K99</f>
        <v>0</v>
      </c>
      <c r="I149" s="22">
        <f>Data!L99</f>
        <v>0</v>
      </c>
      <c r="J149" s="22">
        <f>Data!M99</f>
        <v>0</v>
      </c>
      <c r="K149" s="22"/>
      <c r="L149" s="232"/>
      <c r="M149" s="130" t="s">
        <v>16</v>
      </c>
      <c r="N149" s="15" t="str">
        <f t="shared" ref="N149:S156" si="563">IF(((E149-$P$11)/$P$10)&gt;0,((E149-$P$11)/$P$10)," ")</f>
        <v xml:space="preserve"> </v>
      </c>
      <c r="O149" s="15" t="str">
        <f t="shared" si="563"/>
        <v xml:space="preserve"> </v>
      </c>
      <c r="P149" s="15" t="str">
        <f t="shared" si="563"/>
        <v xml:space="preserve"> </v>
      </c>
      <c r="Q149" s="15" t="str">
        <f t="shared" si="563"/>
        <v xml:space="preserve"> </v>
      </c>
      <c r="R149" s="15" t="str">
        <f t="shared" si="563"/>
        <v xml:space="preserve"> </v>
      </c>
      <c r="S149" s="15" t="str">
        <f t="shared" si="563"/>
        <v xml:space="preserve"> </v>
      </c>
      <c r="T149" s="20" t="str">
        <f t="shared" si="551"/>
        <v/>
      </c>
      <c r="U149" s="40" t="str">
        <f t="shared" si="552"/>
        <v/>
      </c>
      <c r="V149" s="109"/>
      <c r="W149" s="110">
        <v>35</v>
      </c>
      <c r="X149" s="20" t="str">
        <f>IFERROR(($N$23-N149)/W149,"")</f>
        <v/>
      </c>
      <c r="Y149" s="15" t="str">
        <f>IFERROR(($O$23-O149)/W149,"")</f>
        <v/>
      </c>
      <c r="Z149" s="15" t="str">
        <f>IFERROR(($P$23-P149)/W149,"")</f>
        <v/>
      </c>
      <c r="AA149" s="15" t="str">
        <f>IFERROR(($Q$23-Q149)/W149,"")</f>
        <v/>
      </c>
      <c r="AB149" s="15" t="str">
        <f>IFERROR(($R$23-R149)/W149,"")</f>
        <v/>
      </c>
      <c r="AC149" s="15" t="str">
        <f>IFERROR(($S$23-S149)/W149,"")</f>
        <v/>
      </c>
      <c r="AD149" s="20" t="str">
        <f t="shared" ref="AD149:AD150" si="564">IFERROR(AVERAGE(X149:AC149), "")</f>
        <v/>
      </c>
      <c r="AE149" s="40" t="str">
        <f t="shared" ref="AE149:AE150" si="565">IFERROR(STDEV(X149:AC149), "")</f>
        <v/>
      </c>
      <c r="AG149" s="229"/>
      <c r="AH149" s="77">
        <f>'Sample ID'!$F$14</f>
        <v>0</v>
      </c>
      <c r="AI149" s="77" t="str">
        <f>IFERROR((X149*$AH$41),"")</f>
        <v/>
      </c>
      <c r="AJ149" s="77" t="str">
        <f t="shared" ref="AJ149" si="566">IFERROR((Y149*$AH$41),"")</f>
        <v/>
      </c>
      <c r="AK149" s="77" t="str">
        <f t="shared" ref="AK149" si="567">IFERROR((Z149*$AH$41),"")</f>
        <v/>
      </c>
      <c r="AL149" s="77" t="str">
        <f t="shared" ref="AL149" si="568">IFERROR((AA149*$AH$41),"")</f>
        <v/>
      </c>
      <c r="AM149" s="77" t="str">
        <f t="shared" ref="AM149" si="569">IFERROR((AB149*$AH$41),"")</f>
        <v/>
      </c>
      <c r="AN149" s="77" t="str">
        <f t="shared" ref="AN149" si="570">IFERROR((AC149*$AH$41),"")</f>
        <v/>
      </c>
      <c r="AO149" s="40" t="str">
        <f>IFERROR(AVERAGE(AI149:AN149),"")</f>
        <v/>
      </c>
      <c r="AP149" s="40" t="str">
        <f t="shared" ref="AP149:AP150" si="571">IFERROR(STDEV(AI149:AN149), "")</f>
        <v/>
      </c>
      <c r="AQ149" s="15"/>
      <c r="AR149" s="15"/>
    </row>
    <row r="150" spans="3:44">
      <c r="C150" s="232"/>
      <c r="D150" s="21" t="s">
        <v>17</v>
      </c>
      <c r="E150" s="22">
        <f>Data!H100</f>
        <v>0</v>
      </c>
      <c r="F150" s="22">
        <f>Data!I100</f>
        <v>0</v>
      </c>
      <c r="G150" s="22">
        <f>Data!J100</f>
        <v>0</v>
      </c>
      <c r="H150" s="22">
        <f>Data!K100</f>
        <v>0</v>
      </c>
      <c r="I150" s="22">
        <f>Data!L100</f>
        <v>0</v>
      </c>
      <c r="J150" s="22">
        <f>Data!M100</f>
        <v>0</v>
      </c>
      <c r="K150" s="22"/>
      <c r="L150" s="232"/>
      <c r="M150" s="130" t="s">
        <v>17</v>
      </c>
      <c r="N150" s="15" t="str">
        <f t="shared" si="563"/>
        <v xml:space="preserve"> </v>
      </c>
      <c r="O150" s="15" t="str">
        <f t="shared" si="563"/>
        <v xml:space="preserve"> </v>
      </c>
      <c r="P150" s="15" t="str">
        <f t="shared" si="563"/>
        <v xml:space="preserve"> </v>
      </c>
      <c r="Q150" s="15" t="str">
        <f t="shared" si="563"/>
        <v xml:space="preserve"> </v>
      </c>
      <c r="R150" s="15" t="str">
        <f t="shared" si="563"/>
        <v xml:space="preserve"> </v>
      </c>
      <c r="S150" s="15" t="str">
        <f t="shared" si="563"/>
        <v xml:space="preserve"> </v>
      </c>
      <c r="T150" s="20" t="str">
        <f t="shared" si="551"/>
        <v/>
      </c>
      <c r="U150" s="40" t="str">
        <f t="shared" si="552"/>
        <v/>
      </c>
      <c r="V150" s="109"/>
      <c r="W150" s="110">
        <v>35</v>
      </c>
      <c r="X150" s="20" t="str">
        <f>IFERROR(($N$24-N150)/W150,"")</f>
        <v/>
      </c>
      <c r="Y150" s="15" t="str">
        <f>IFERROR(($O$24-O150)/W150,"")</f>
        <v/>
      </c>
      <c r="Z150" s="15" t="str">
        <f>IFERROR(($P$24-P150)/W150,"")</f>
        <v/>
      </c>
      <c r="AA150" s="15" t="str">
        <f>IFERROR(($Q$24-Q150)/W150,"")</f>
        <v/>
      </c>
      <c r="AB150" s="15" t="str">
        <f>IFERROR(($R$24-R150)/W150,"")</f>
        <v/>
      </c>
      <c r="AC150" s="15" t="str">
        <f>IFERROR(($S$24-S150)/W150,"")</f>
        <v/>
      </c>
      <c r="AD150" s="20" t="str">
        <f t="shared" si="564"/>
        <v/>
      </c>
      <c r="AE150" s="40" t="str">
        <f t="shared" si="565"/>
        <v/>
      </c>
      <c r="AG150" s="229"/>
      <c r="AH150" s="77">
        <f>'Sample ID'!$F$15</f>
        <v>0</v>
      </c>
      <c r="AI150" s="77" t="str">
        <f>IFERROR((X150*$AH$42),"")</f>
        <v/>
      </c>
      <c r="AJ150" s="77" t="str">
        <f t="shared" ref="AJ150" si="572">IFERROR((Y150*$AH$42),"")</f>
        <v/>
      </c>
      <c r="AK150" s="77" t="str">
        <f t="shared" ref="AK150" si="573">IFERROR((Z150*$AH$42),"")</f>
        <v/>
      </c>
      <c r="AL150" s="77" t="str">
        <f t="shared" ref="AL150" si="574">IFERROR((AA150*$AH$42),"")</f>
        <v/>
      </c>
      <c r="AM150" s="77" t="str">
        <f t="shared" ref="AM150" si="575">IFERROR((AB150*$AH$42),"")</f>
        <v/>
      </c>
      <c r="AN150" s="77" t="str">
        <f t="shared" ref="AN150" si="576">IFERROR((AC150*$AH$42),"")</f>
        <v/>
      </c>
      <c r="AO150" s="40" t="str">
        <f t="shared" ref="AO150:AO156" si="577">IFERROR(AVERAGE(AI150:AN150),"")</f>
        <v/>
      </c>
      <c r="AP150" s="40" t="str">
        <f t="shared" si="571"/>
        <v/>
      </c>
      <c r="AQ150" s="15"/>
      <c r="AR150" s="15"/>
    </row>
    <row r="151" spans="3:44">
      <c r="C151" s="232"/>
      <c r="D151" s="21" t="s">
        <v>18</v>
      </c>
      <c r="E151" s="22">
        <f>Data!H101</f>
        <v>0</v>
      </c>
      <c r="F151" s="22">
        <f>Data!I101</f>
        <v>0</v>
      </c>
      <c r="G151" s="22">
        <f>Data!J101</f>
        <v>0</v>
      </c>
      <c r="H151" s="22">
        <f>Data!K101</f>
        <v>0</v>
      </c>
      <c r="I151" s="22">
        <f>Data!L101</f>
        <v>0</v>
      </c>
      <c r="J151" s="22">
        <f>Data!M101</f>
        <v>0</v>
      </c>
      <c r="K151" s="22"/>
      <c r="L151" s="232"/>
      <c r="M151" s="130" t="s">
        <v>18</v>
      </c>
      <c r="N151" s="15" t="str">
        <f t="shared" si="563"/>
        <v xml:space="preserve"> </v>
      </c>
      <c r="O151" s="15" t="str">
        <f t="shared" si="563"/>
        <v xml:space="preserve"> </v>
      </c>
      <c r="P151" s="15" t="str">
        <f t="shared" si="563"/>
        <v xml:space="preserve"> </v>
      </c>
      <c r="Q151" s="15" t="str">
        <f t="shared" si="563"/>
        <v xml:space="preserve"> </v>
      </c>
      <c r="R151" s="15" t="str">
        <f t="shared" si="563"/>
        <v xml:space="preserve"> </v>
      </c>
      <c r="S151" s="15" t="str">
        <f t="shared" si="563"/>
        <v xml:space="preserve"> </v>
      </c>
      <c r="T151" s="20" t="str">
        <f t="shared" si="551"/>
        <v/>
      </c>
      <c r="U151" s="40" t="str">
        <f t="shared" si="552"/>
        <v/>
      </c>
      <c r="V151" s="109"/>
      <c r="W151" s="110">
        <v>35</v>
      </c>
      <c r="X151" s="20" t="str">
        <f>IFERROR(($N$25-N151)/W151,"")</f>
        <v/>
      </c>
      <c r="Y151" s="15" t="str">
        <f>IFERROR(($O$25-O151)/W151,"")</f>
        <v/>
      </c>
      <c r="Z151" s="15" t="str">
        <f>IFERROR(($P$25-P151)/W151,"")</f>
        <v/>
      </c>
      <c r="AA151" s="15" t="str">
        <f>IFERROR(($Q$25-Q151)/W151,"")</f>
        <v/>
      </c>
      <c r="AB151" s="15" t="str">
        <f>IFERROR(($R$25-R151)/W151,"")</f>
        <v/>
      </c>
      <c r="AC151" s="15" t="str">
        <f>IFERROR(($S$25-S151)/W151,"")</f>
        <v/>
      </c>
      <c r="AD151" s="20" t="str">
        <f>IFERROR(AVERAGE(X151:AC151), "")</f>
        <v/>
      </c>
      <c r="AE151" s="40" t="str">
        <f>IFERROR(STDEV(X151:AC151), "")</f>
        <v/>
      </c>
      <c r="AG151" s="229"/>
      <c r="AH151" s="77">
        <f>'Sample ID'!$F$16</f>
        <v>0</v>
      </c>
      <c r="AI151" s="77" t="str">
        <f>IFERROR((X151*$AH$43),"")</f>
        <v/>
      </c>
      <c r="AJ151" s="77" t="str">
        <f t="shared" ref="AJ151" si="578">IFERROR((Y151*$AH$43),"")</f>
        <v/>
      </c>
      <c r="AK151" s="77" t="str">
        <f t="shared" ref="AK151" si="579">IFERROR((Z151*$AH$43),"")</f>
        <v/>
      </c>
      <c r="AL151" s="77" t="str">
        <f t="shared" ref="AL151" si="580">IFERROR((AA151*$AH$43),"")</f>
        <v/>
      </c>
      <c r="AM151" s="77" t="str">
        <f t="shared" ref="AM151" si="581">IFERROR((AB151*$AH$43),"")</f>
        <v/>
      </c>
      <c r="AN151" s="77" t="str">
        <f t="shared" ref="AN151" si="582">IFERROR((AC151*$AH$43),"")</f>
        <v/>
      </c>
      <c r="AO151" s="40" t="str">
        <f t="shared" si="577"/>
        <v/>
      </c>
      <c r="AP151" s="40" t="str">
        <f>IFERROR(STDEV(AI151:AN151), "")</f>
        <v/>
      </c>
      <c r="AQ151" s="15"/>
      <c r="AR151" s="15"/>
    </row>
    <row r="152" spans="3:44">
      <c r="C152" s="232"/>
      <c r="D152" s="21" t="s">
        <v>19</v>
      </c>
      <c r="E152" s="22">
        <f>Data!H102</f>
        <v>0</v>
      </c>
      <c r="F152" s="22">
        <f>Data!I102</f>
        <v>0</v>
      </c>
      <c r="G152" s="22">
        <f>Data!J102</f>
        <v>0</v>
      </c>
      <c r="H152" s="22">
        <f>Data!K102</f>
        <v>0</v>
      </c>
      <c r="I152" s="22">
        <f>Data!L102</f>
        <v>0</v>
      </c>
      <c r="J152" s="22">
        <f>Data!M102</f>
        <v>0</v>
      </c>
      <c r="K152" s="22"/>
      <c r="L152" s="232"/>
      <c r="M152" s="130" t="s">
        <v>19</v>
      </c>
      <c r="N152" s="15" t="str">
        <f t="shared" si="563"/>
        <v xml:space="preserve"> </v>
      </c>
      <c r="O152" s="15" t="str">
        <f t="shared" si="563"/>
        <v xml:space="preserve"> </v>
      </c>
      <c r="P152" s="15" t="str">
        <f t="shared" si="563"/>
        <v xml:space="preserve"> </v>
      </c>
      <c r="Q152" s="15" t="str">
        <f t="shared" si="563"/>
        <v xml:space="preserve"> </v>
      </c>
      <c r="R152" s="15" t="str">
        <f t="shared" si="563"/>
        <v xml:space="preserve"> </v>
      </c>
      <c r="S152" s="15" t="str">
        <f t="shared" si="563"/>
        <v xml:space="preserve"> </v>
      </c>
      <c r="T152" s="20" t="str">
        <f t="shared" si="551"/>
        <v/>
      </c>
      <c r="U152" s="40" t="str">
        <f t="shared" si="552"/>
        <v/>
      </c>
      <c r="V152" s="109"/>
      <c r="W152" s="110">
        <v>35</v>
      </c>
      <c r="X152" s="20" t="str">
        <f>IFERROR(($N$26-N152)/W152,"")</f>
        <v/>
      </c>
      <c r="Y152" s="15" t="str">
        <f>IFERROR(($O$26-O152)/W152,"")</f>
        <v/>
      </c>
      <c r="Z152" s="15" t="str">
        <f>IFERROR(($P$26-P152)/W152,"")</f>
        <v/>
      </c>
      <c r="AA152" s="15" t="str">
        <f>IFERROR(($Q$17-Q152)/W152,"")</f>
        <v/>
      </c>
      <c r="AB152" s="15" t="str">
        <f>IFERROR(($R$26-R152)/W152,"")</f>
        <v/>
      </c>
      <c r="AC152" s="15" t="str">
        <f>IFERROR(($S$26-S152)/W152,"")</f>
        <v/>
      </c>
      <c r="AD152" s="20" t="str">
        <f t="shared" ref="AD152:AD155" si="583">IFERROR(AVERAGE(X152:AC152), "")</f>
        <v/>
      </c>
      <c r="AE152" s="40" t="str">
        <f t="shared" ref="AE152:AE156" si="584">IFERROR(STDEV(X152:AC152), "")</f>
        <v/>
      </c>
      <c r="AG152" s="229"/>
      <c r="AH152" s="77">
        <f>'Sample ID'!$F$17</f>
        <v>0</v>
      </c>
      <c r="AI152" s="77" t="str">
        <f>IFERROR((X152*$AH$44),"")</f>
        <v/>
      </c>
      <c r="AJ152" s="77" t="str">
        <f t="shared" ref="AJ152" si="585">IFERROR((Y152*$AH$44),"")</f>
        <v/>
      </c>
      <c r="AK152" s="77" t="str">
        <f t="shared" ref="AK152" si="586">IFERROR((Z152*$AH$44),"")</f>
        <v/>
      </c>
      <c r="AL152" s="77" t="str">
        <f t="shared" ref="AL152" si="587">IFERROR((AA152*$AH$44),"")</f>
        <v/>
      </c>
      <c r="AM152" s="77" t="str">
        <f t="shared" ref="AM152" si="588">IFERROR((AB152*$AH$44),"")</f>
        <v/>
      </c>
      <c r="AN152" s="77" t="str">
        <f t="shared" ref="AN152" si="589">IFERROR((AC152*$AH$44),"")</f>
        <v/>
      </c>
      <c r="AO152" s="40" t="str">
        <f t="shared" si="577"/>
        <v/>
      </c>
      <c r="AP152" s="40" t="str">
        <f t="shared" ref="AP152:AP156" si="590">IFERROR(STDEV(AI152:AN152), "")</f>
        <v/>
      </c>
      <c r="AQ152" s="15"/>
      <c r="AR152" s="15"/>
    </row>
    <row r="153" spans="3:44">
      <c r="C153" s="232"/>
      <c r="D153" s="21" t="s">
        <v>20</v>
      </c>
      <c r="E153" s="22">
        <f>Data!H103</f>
        <v>0</v>
      </c>
      <c r="F153" s="22">
        <f>Data!I103</f>
        <v>0</v>
      </c>
      <c r="G153" s="22">
        <f>Data!J103</f>
        <v>0</v>
      </c>
      <c r="H153" s="22">
        <f>Data!K103</f>
        <v>0</v>
      </c>
      <c r="I153" s="22">
        <f>Data!L103</f>
        <v>0</v>
      </c>
      <c r="J153" s="22">
        <f>Data!M103</f>
        <v>0</v>
      </c>
      <c r="K153" s="22"/>
      <c r="L153" s="232"/>
      <c r="M153" s="130" t="s">
        <v>20</v>
      </c>
      <c r="N153" s="15" t="str">
        <f t="shared" si="563"/>
        <v xml:space="preserve"> </v>
      </c>
      <c r="O153" s="15" t="str">
        <f t="shared" si="563"/>
        <v xml:space="preserve"> </v>
      </c>
      <c r="P153" s="15" t="str">
        <f t="shared" si="563"/>
        <v xml:space="preserve"> </v>
      </c>
      <c r="Q153" s="15" t="str">
        <f t="shared" si="563"/>
        <v xml:space="preserve"> </v>
      </c>
      <c r="R153" s="15" t="str">
        <f t="shared" si="563"/>
        <v xml:space="preserve"> </v>
      </c>
      <c r="S153" s="15" t="str">
        <f t="shared" si="563"/>
        <v xml:space="preserve"> </v>
      </c>
      <c r="T153" s="20" t="str">
        <f t="shared" si="551"/>
        <v/>
      </c>
      <c r="U153" s="40" t="str">
        <f t="shared" si="552"/>
        <v/>
      </c>
      <c r="V153" s="109"/>
      <c r="W153" s="110">
        <v>35</v>
      </c>
      <c r="X153" s="20" t="str">
        <f>IFERROR(($N$27-N153)/W153,"")</f>
        <v/>
      </c>
      <c r="Y153" s="15" t="str">
        <f>IFERROR(($O$27-O153)/W153,"")</f>
        <v/>
      </c>
      <c r="Z153" s="15" t="str">
        <f>IFERROR(($P$27-P153)/W153,"")</f>
        <v/>
      </c>
      <c r="AA153" s="15" t="str">
        <f>IFERROR(($Q$18-Q153)/W153,"")</f>
        <v/>
      </c>
      <c r="AB153" s="15" t="str">
        <f>IFERROR(($R$27-R153)/W153,"")</f>
        <v/>
      </c>
      <c r="AC153" s="15" t="str">
        <f>IFERROR(($S$27-S153)/W153,"")</f>
        <v/>
      </c>
      <c r="AD153" s="20" t="str">
        <f t="shared" si="583"/>
        <v/>
      </c>
      <c r="AE153" s="40" t="str">
        <f t="shared" si="584"/>
        <v/>
      </c>
      <c r="AG153" s="229"/>
      <c r="AH153" s="77">
        <f>'Sample ID'!$F$18</f>
        <v>0</v>
      </c>
      <c r="AI153" s="77" t="str">
        <f>IFERROR((X153*$AH$45),"")</f>
        <v/>
      </c>
      <c r="AJ153" s="77" t="str">
        <f t="shared" ref="AJ153" si="591">IFERROR((Y153*$AH$45),"")</f>
        <v/>
      </c>
      <c r="AK153" s="77" t="str">
        <f t="shared" ref="AK153" si="592">IFERROR((Z153*$AH$45),"")</f>
        <v/>
      </c>
      <c r="AL153" s="77" t="str">
        <f t="shared" ref="AL153" si="593">IFERROR((AA153*$AH$45),"")</f>
        <v/>
      </c>
      <c r="AM153" s="77" t="str">
        <f t="shared" ref="AM153" si="594">IFERROR((AB153*$AH$45),"")</f>
        <v/>
      </c>
      <c r="AN153" s="77" t="str">
        <f t="shared" ref="AN153" si="595">IFERROR((AC153*$AH$45),"")</f>
        <v/>
      </c>
      <c r="AO153" s="40" t="str">
        <f t="shared" si="577"/>
        <v/>
      </c>
      <c r="AP153" s="40" t="str">
        <f t="shared" si="590"/>
        <v/>
      </c>
      <c r="AQ153" s="15"/>
      <c r="AR153" s="15"/>
    </row>
    <row r="154" spans="3:44">
      <c r="C154" s="232"/>
      <c r="D154" s="21" t="s">
        <v>21</v>
      </c>
      <c r="E154" s="22">
        <f>Data!H104</f>
        <v>0</v>
      </c>
      <c r="F154" s="22">
        <f>Data!I104</f>
        <v>0</v>
      </c>
      <c r="G154" s="22">
        <f>Data!J104</f>
        <v>0</v>
      </c>
      <c r="H154" s="22">
        <f>Data!K104</f>
        <v>0</v>
      </c>
      <c r="I154" s="22">
        <f>Data!L104</f>
        <v>0</v>
      </c>
      <c r="J154" s="22">
        <f>Data!M104</f>
        <v>0</v>
      </c>
      <c r="K154" s="22"/>
      <c r="L154" s="232"/>
      <c r="M154" s="130" t="s">
        <v>21</v>
      </c>
      <c r="N154" s="15" t="str">
        <f t="shared" si="563"/>
        <v xml:space="preserve"> </v>
      </c>
      <c r="O154" s="15" t="str">
        <f t="shared" si="563"/>
        <v xml:space="preserve"> </v>
      </c>
      <c r="P154" s="15" t="str">
        <f t="shared" si="563"/>
        <v xml:space="preserve"> </v>
      </c>
      <c r="Q154" s="15" t="str">
        <f t="shared" si="563"/>
        <v xml:space="preserve"> </v>
      </c>
      <c r="R154" s="15" t="str">
        <f t="shared" si="563"/>
        <v xml:space="preserve"> </v>
      </c>
      <c r="S154" s="15" t="str">
        <f t="shared" si="563"/>
        <v xml:space="preserve"> </v>
      </c>
      <c r="T154" s="20" t="str">
        <f t="shared" si="551"/>
        <v/>
      </c>
      <c r="U154" s="40" t="str">
        <f t="shared" si="552"/>
        <v/>
      </c>
      <c r="V154" s="109"/>
      <c r="W154" s="110">
        <v>35</v>
      </c>
      <c r="X154" s="20" t="str">
        <f>IFERROR(($N$28-N154)/W154,"")</f>
        <v/>
      </c>
      <c r="Y154" s="15" t="str">
        <f>IFERROR(($O$28-O154)/W154,"")</f>
        <v/>
      </c>
      <c r="Z154" s="15" t="str">
        <f>IFERROR(($P$28-P154)/W154,"")</f>
        <v/>
      </c>
      <c r="AA154" s="15" t="str">
        <f>IFERROR(($Q$19-Q154)/W154,"")</f>
        <v/>
      </c>
      <c r="AB154" s="15" t="str">
        <f>IFERROR(($R$28-R154)/W154,"")</f>
        <v/>
      </c>
      <c r="AC154" s="15" t="str">
        <f>IFERROR(($S$28-S154)/W154,"")</f>
        <v/>
      </c>
      <c r="AD154" s="20" t="str">
        <f t="shared" si="583"/>
        <v/>
      </c>
      <c r="AE154" s="40" t="str">
        <f t="shared" si="584"/>
        <v/>
      </c>
      <c r="AG154" s="229"/>
      <c r="AH154" s="77">
        <f>'Sample ID'!$F$19</f>
        <v>0</v>
      </c>
      <c r="AI154" s="77" t="str">
        <f>IFERROR((X154*$AH$46),"")</f>
        <v/>
      </c>
      <c r="AJ154" s="77" t="str">
        <f t="shared" ref="AJ154" si="596">IFERROR((Y154*$AH$46),"")</f>
        <v/>
      </c>
      <c r="AK154" s="77" t="str">
        <f t="shared" ref="AK154" si="597">IFERROR((Z154*$AH$46),"")</f>
        <v/>
      </c>
      <c r="AL154" s="77" t="str">
        <f t="shared" ref="AL154" si="598">IFERROR((AA154*$AH$46),"")</f>
        <v/>
      </c>
      <c r="AM154" s="77" t="str">
        <f t="shared" ref="AM154" si="599">IFERROR((AB154*$AH$46),"")</f>
        <v/>
      </c>
      <c r="AN154" s="77" t="str">
        <f t="shared" ref="AN154" si="600">IFERROR((AC154*$AH$46),"")</f>
        <v/>
      </c>
      <c r="AO154" s="40" t="str">
        <f t="shared" si="577"/>
        <v/>
      </c>
      <c r="AP154" s="40" t="str">
        <f t="shared" si="590"/>
        <v/>
      </c>
      <c r="AQ154" s="15"/>
      <c r="AR154" s="15"/>
    </row>
    <row r="155" spans="3:44">
      <c r="C155" s="232"/>
      <c r="D155" s="21" t="s">
        <v>22</v>
      </c>
      <c r="E155" s="22">
        <f>Data!H105</f>
        <v>0</v>
      </c>
      <c r="F155" s="22">
        <f>Data!I105</f>
        <v>0</v>
      </c>
      <c r="G155" s="22">
        <f>Data!J105</f>
        <v>0</v>
      </c>
      <c r="H155" s="22">
        <f>Data!K105</f>
        <v>0</v>
      </c>
      <c r="I155" s="22">
        <f>Data!L105</f>
        <v>0</v>
      </c>
      <c r="J155" s="22">
        <f>Data!M105</f>
        <v>0</v>
      </c>
      <c r="K155" s="22"/>
      <c r="L155" s="232"/>
      <c r="M155" s="130" t="s">
        <v>22</v>
      </c>
      <c r="N155" s="15" t="str">
        <f t="shared" si="563"/>
        <v xml:space="preserve"> </v>
      </c>
      <c r="O155" s="15" t="str">
        <f t="shared" si="563"/>
        <v xml:space="preserve"> </v>
      </c>
      <c r="P155" s="15" t="str">
        <f t="shared" si="563"/>
        <v xml:space="preserve"> </v>
      </c>
      <c r="Q155" s="15" t="str">
        <f t="shared" si="563"/>
        <v xml:space="preserve"> </v>
      </c>
      <c r="R155" s="15" t="str">
        <f t="shared" si="563"/>
        <v xml:space="preserve"> </v>
      </c>
      <c r="S155" s="15" t="str">
        <f t="shared" si="563"/>
        <v xml:space="preserve"> </v>
      </c>
      <c r="T155" s="20" t="str">
        <f t="shared" si="551"/>
        <v/>
      </c>
      <c r="U155" s="40" t="str">
        <f t="shared" si="552"/>
        <v/>
      </c>
      <c r="V155" s="109"/>
      <c r="W155" s="110">
        <v>35</v>
      </c>
      <c r="X155" s="20" t="str">
        <f>IFERROR(($N$29-N155)/W155,"")</f>
        <v/>
      </c>
      <c r="Y155" s="15" t="str">
        <f>IFERROR(($O$29-O155)/W155,"")</f>
        <v/>
      </c>
      <c r="Z155" s="15" t="str">
        <f>IFERROR(($P$29-P155)/W155,"")</f>
        <v/>
      </c>
      <c r="AA155" s="15" t="str">
        <f>IFERROR(($Q$20-Q155)/W155,"")</f>
        <v/>
      </c>
      <c r="AB155" s="15" t="str">
        <f>IFERROR(($R$29-R155)/W155,"")</f>
        <v/>
      </c>
      <c r="AC155" s="15" t="str">
        <f>IFERROR(($S$29-S155)/W155,"")</f>
        <v/>
      </c>
      <c r="AD155" s="20" t="str">
        <f t="shared" si="583"/>
        <v/>
      </c>
      <c r="AE155" s="40" t="str">
        <f t="shared" si="584"/>
        <v/>
      </c>
      <c r="AG155" s="229"/>
      <c r="AH155" s="77">
        <f>'Sample ID'!$F$20</f>
        <v>0</v>
      </c>
      <c r="AI155" s="77" t="str">
        <f>IFERROR((X155*$AH$47),"")</f>
        <v/>
      </c>
      <c r="AJ155" s="77" t="str">
        <f t="shared" ref="AJ155" si="601">IFERROR((Y155*$AH$47),"")</f>
        <v/>
      </c>
      <c r="AK155" s="77" t="str">
        <f t="shared" ref="AK155" si="602">IFERROR((Z155*$AH$47),"")</f>
        <v/>
      </c>
      <c r="AL155" s="77" t="str">
        <f t="shared" ref="AL155" si="603">IFERROR((AA155*$AH$47),"")</f>
        <v/>
      </c>
      <c r="AM155" s="77" t="str">
        <f t="shared" ref="AM155" si="604">IFERROR((AB155*$AH$47),"")</f>
        <v/>
      </c>
      <c r="AN155" s="77" t="str">
        <f t="shared" ref="AN155" si="605">IFERROR((AC155*$AH$47),"")</f>
        <v/>
      </c>
      <c r="AO155" s="40" t="str">
        <f t="shared" si="577"/>
        <v/>
      </c>
      <c r="AP155" s="40" t="str">
        <f t="shared" si="590"/>
        <v/>
      </c>
      <c r="AQ155" s="15"/>
      <c r="AR155" s="15"/>
    </row>
    <row r="156" spans="3:44">
      <c r="C156" s="232"/>
      <c r="D156" s="21" t="s">
        <v>23</v>
      </c>
      <c r="E156" s="22">
        <f>Data!H106</f>
        <v>0</v>
      </c>
      <c r="F156" s="22">
        <f>Data!I106</f>
        <v>0</v>
      </c>
      <c r="G156" s="22">
        <f>Data!J106</f>
        <v>0</v>
      </c>
      <c r="H156" s="22">
        <f>Data!K106</f>
        <v>0</v>
      </c>
      <c r="I156" s="22">
        <f>Data!L106</f>
        <v>0</v>
      </c>
      <c r="J156" s="22">
        <f>Data!M106</f>
        <v>0</v>
      </c>
      <c r="K156" s="22"/>
      <c r="L156" s="232"/>
      <c r="M156" s="130" t="s">
        <v>23</v>
      </c>
      <c r="N156" s="15" t="str">
        <f t="shared" si="563"/>
        <v xml:space="preserve"> </v>
      </c>
      <c r="O156" s="15" t="str">
        <f t="shared" si="563"/>
        <v xml:space="preserve"> </v>
      </c>
      <c r="P156" s="15" t="str">
        <f t="shared" si="563"/>
        <v xml:space="preserve"> </v>
      </c>
      <c r="Q156" s="15" t="str">
        <f t="shared" si="563"/>
        <v xml:space="preserve"> </v>
      </c>
      <c r="R156" s="15" t="str">
        <f t="shared" si="563"/>
        <v xml:space="preserve"> </v>
      </c>
      <c r="S156" s="15" t="str">
        <f t="shared" si="563"/>
        <v xml:space="preserve"> </v>
      </c>
      <c r="T156" s="20" t="str">
        <f t="shared" si="551"/>
        <v/>
      </c>
      <c r="U156" s="40" t="str">
        <f t="shared" si="552"/>
        <v/>
      </c>
      <c r="V156" s="109"/>
      <c r="W156" s="110">
        <v>35</v>
      </c>
      <c r="X156" s="20" t="str">
        <f>IFERROR(($N$30-N156)/W156,"")</f>
        <v/>
      </c>
      <c r="Y156" s="15" t="str">
        <f>IFERROR(($O$30-O156)/W156,"")</f>
        <v/>
      </c>
      <c r="Z156" s="15" t="str">
        <f>IFERROR(($P$30-P156)/W156,"")</f>
        <v/>
      </c>
      <c r="AA156" s="15" t="str">
        <f>IFERROR(($Q$21-Q156)/W156,"")</f>
        <v/>
      </c>
      <c r="AB156" s="17" t="str">
        <f>IFERROR(($R$30-R156)/W156,"")</f>
        <v/>
      </c>
      <c r="AC156" s="15" t="str">
        <f>IFERROR(($S$30-S156)/W156,"")</f>
        <v/>
      </c>
      <c r="AD156" s="20" t="str">
        <f>IFERROR(AVERAGE(X156:AC156), "")</f>
        <v/>
      </c>
      <c r="AE156" s="40" t="str">
        <f t="shared" si="584"/>
        <v/>
      </c>
      <c r="AG156" s="230"/>
      <c r="AH156" s="77">
        <f>'Sample ID'!$F$21</f>
        <v>0</v>
      </c>
      <c r="AI156" s="77" t="str">
        <f>IFERROR((X156*$AH$48),"")</f>
        <v/>
      </c>
      <c r="AJ156" s="77" t="str">
        <f t="shared" ref="AJ156" si="606">IFERROR((Y156*$AH$48),"")</f>
        <v/>
      </c>
      <c r="AK156" s="77" t="str">
        <f t="shared" ref="AK156" si="607">IFERROR((Z156*$AH$48),"")</f>
        <v/>
      </c>
      <c r="AL156" s="77" t="str">
        <f t="shared" ref="AL156" si="608">IFERROR((AA156*$AH$48),"")</f>
        <v/>
      </c>
      <c r="AM156" s="77" t="str">
        <f t="shared" ref="AM156" si="609">IFERROR((AB156*$AH$48),"")</f>
        <v/>
      </c>
      <c r="AN156" s="77" t="str">
        <f t="shared" ref="AN156" si="610">IFERROR((AC156*$AH$48),"")</f>
        <v/>
      </c>
      <c r="AO156" s="40" t="str">
        <f t="shared" si="577"/>
        <v/>
      </c>
      <c r="AP156" s="40" t="str">
        <f t="shared" si="590"/>
        <v/>
      </c>
      <c r="AQ156" s="15"/>
      <c r="AR156" s="15"/>
    </row>
    <row r="157" spans="3:44">
      <c r="C157" s="232">
        <v>40</v>
      </c>
      <c r="D157" s="50"/>
      <c r="E157" s="58">
        <v>1</v>
      </c>
      <c r="F157" s="58">
        <v>2</v>
      </c>
      <c r="G157" s="59">
        <v>3</v>
      </c>
      <c r="H157" s="56">
        <v>4</v>
      </c>
      <c r="I157" s="56">
        <v>5</v>
      </c>
      <c r="J157" s="57">
        <v>6</v>
      </c>
      <c r="K157" s="27"/>
      <c r="L157" s="232">
        <v>40</v>
      </c>
      <c r="M157" s="38"/>
      <c r="N157" s="59">
        <v>1</v>
      </c>
      <c r="O157" s="38">
        <v>2</v>
      </c>
      <c r="P157" s="38">
        <v>3</v>
      </c>
      <c r="Q157" s="38">
        <v>4</v>
      </c>
      <c r="R157" s="38">
        <v>5</v>
      </c>
      <c r="S157" s="50">
        <v>6</v>
      </c>
      <c r="T157" s="38" t="s">
        <v>24</v>
      </c>
      <c r="U157" s="51" t="s">
        <v>3</v>
      </c>
      <c r="V157" s="109"/>
      <c r="W157" s="38" t="s">
        <v>34</v>
      </c>
      <c r="X157" s="38">
        <v>1</v>
      </c>
      <c r="Y157" s="38">
        <v>2</v>
      </c>
      <c r="Z157" s="38">
        <v>3</v>
      </c>
      <c r="AA157" s="38">
        <v>4</v>
      </c>
      <c r="AB157" s="38">
        <v>5</v>
      </c>
      <c r="AC157" s="50">
        <v>6</v>
      </c>
      <c r="AD157" s="50" t="s">
        <v>49</v>
      </c>
      <c r="AE157" s="51" t="s">
        <v>3</v>
      </c>
      <c r="AF157" s="69"/>
      <c r="AG157" s="231">
        <v>40</v>
      </c>
      <c r="AH157" s="38" t="s">
        <v>35</v>
      </c>
      <c r="AI157" s="38"/>
      <c r="AJ157" s="38"/>
      <c r="AK157" s="38"/>
      <c r="AL157" s="38"/>
      <c r="AM157" s="38"/>
      <c r="AN157" s="38"/>
      <c r="AO157" s="52" t="s">
        <v>36</v>
      </c>
      <c r="AP157" s="51" t="s">
        <v>3</v>
      </c>
      <c r="AQ157" s="15"/>
      <c r="AR157" s="15"/>
    </row>
    <row r="158" spans="3:44">
      <c r="C158" s="232"/>
      <c r="D158" s="21" t="s">
        <v>16</v>
      </c>
      <c r="E158" s="22">
        <f>Data!B111</f>
        <v>1.9350000000000001</v>
      </c>
      <c r="F158" s="22">
        <f>Data!C111</f>
        <v>1.917</v>
      </c>
      <c r="G158" s="22">
        <f>Data!D111</f>
        <v>1.9530000000000001</v>
      </c>
      <c r="H158" s="22">
        <f>Data!E111</f>
        <v>1.9350000000000001</v>
      </c>
      <c r="I158" s="22">
        <f>Data!F111</f>
        <v>1.917</v>
      </c>
      <c r="J158" s="22">
        <f>Data!G111</f>
        <v>1.9530000000000001</v>
      </c>
      <c r="K158" s="22"/>
      <c r="L158" s="232"/>
      <c r="M158" s="130" t="s">
        <v>16</v>
      </c>
      <c r="N158" s="15">
        <f t="shared" ref="N158:S165" si="611">IF(((E158-$P$11)/$P$10)&gt;0,((E158-$P$11)/$P$10)," ")</f>
        <v>1.6963170223841753</v>
      </c>
      <c r="O158" s="15">
        <f t="shared" si="611"/>
        <v>1.6787480478917234</v>
      </c>
      <c r="P158" s="15">
        <f t="shared" si="611"/>
        <v>1.7138859968766271</v>
      </c>
      <c r="Q158" s="15">
        <f t="shared" si="611"/>
        <v>1.6963170223841753</v>
      </c>
      <c r="R158" s="15">
        <f t="shared" si="611"/>
        <v>1.6787480478917234</v>
      </c>
      <c r="S158" s="15">
        <f t="shared" si="611"/>
        <v>1.7138859968766271</v>
      </c>
      <c r="T158" s="20">
        <f t="shared" si="551"/>
        <v>1.6963170223841753</v>
      </c>
      <c r="U158" s="40">
        <f t="shared" si="552"/>
        <v>1.5714168504032899E-2</v>
      </c>
      <c r="V158" s="109"/>
      <c r="W158" s="110">
        <v>40</v>
      </c>
      <c r="X158" s="20">
        <f>IFERROR(($N$14-N158)/W158,"")</f>
        <v>8.7844872462259358E-4</v>
      </c>
      <c r="Y158" s="15">
        <f>IFERROR(($O$14-O158)/W158,"")</f>
        <v>1.293271733472151E-3</v>
      </c>
      <c r="Z158" s="15">
        <f>IFERROR(($P$14-P158)/W158,"")</f>
        <v>1.1224622592399813E-3</v>
      </c>
      <c r="AA158" s="15">
        <f>IFERROR(($Q$14-Q158)/W158,"")</f>
        <v>8.7844872462259358E-4</v>
      </c>
      <c r="AB158" s="15">
        <f>IFERROR(($R$14-R158)/W158,"")</f>
        <v>1.293271733472151E-3</v>
      </c>
      <c r="AC158" s="15">
        <f>IFERROR(($S$14-S158)/W158,"")</f>
        <v>1.1224622592399813E-3</v>
      </c>
      <c r="AD158" s="20">
        <f>IFERROR(AVERAGE(X158:AC158), "")</f>
        <v>1.098060905778242E-3</v>
      </c>
      <c r="AE158" s="40">
        <f>IFERROR(STDEV(X158:AC158), "")</f>
        <v>1.8647488132362183E-4</v>
      </c>
      <c r="AG158" s="229"/>
      <c r="AH158" s="76">
        <f>'Sample ID'!$F$6</f>
        <v>1</v>
      </c>
      <c r="AI158" s="77">
        <f>IFERROR((X158*$AH$32),"")</f>
        <v>8.7844872462259358E-4</v>
      </c>
      <c r="AJ158" s="77">
        <f t="shared" ref="AJ158" si="612">IFERROR((Y158*$AH$32),"")</f>
        <v>1.293271733472151E-3</v>
      </c>
      <c r="AK158" s="77">
        <f t="shared" ref="AK158" si="613">IFERROR((Z158*$AH$32),"")</f>
        <v>1.1224622592399813E-3</v>
      </c>
      <c r="AL158" s="77">
        <f t="shared" ref="AL158" si="614">IFERROR((AA158*$AH$32),"")</f>
        <v>8.7844872462259358E-4</v>
      </c>
      <c r="AM158" s="77">
        <f t="shared" ref="AM158" si="615">IFERROR((AB158*$AH$32),"")</f>
        <v>1.293271733472151E-3</v>
      </c>
      <c r="AN158" s="77">
        <f t="shared" ref="AN158" si="616">IFERROR((AC158*$AH$32),"")</f>
        <v>1.1224622592399813E-3</v>
      </c>
      <c r="AO158" s="40">
        <f>IFERROR(AVERAGE(AI158:AN158),"")</f>
        <v>1.098060905778242E-3</v>
      </c>
      <c r="AP158" s="40">
        <f>IFERROR(STDEV(AI158:AN158), "")</f>
        <v>1.8647488132362183E-4</v>
      </c>
      <c r="AQ158" s="15"/>
      <c r="AR158" s="15"/>
    </row>
    <row r="159" spans="3:44">
      <c r="C159" s="232"/>
      <c r="D159" s="21" t="s">
        <v>17</v>
      </c>
      <c r="E159" s="22">
        <f>Data!B112</f>
        <v>2.0030000000000001</v>
      </c>
      <c r="F159" s="22">
        <f>Data!C112</f>
        <v>2.0070000000000001</v>
      </c>
      <c r="G159" s="22">
        <f>Data!D112</f>
        <v>2.0249999999999999</v>
      </c>
      <c r="H159" s="22">
        <f>Data!E112</f>
        <v>2.0030000000000001</v>
      </c>
      <c r="I159" s="22">
        <f>Data!F112</f>
        <v>2.0070000000000001</v>
      </c>
      <c r="J159" s="22">
        <f>Data!G112</f>
        <v>2.0249999999999999</v>
      </c>
      <c r="K159" s="22"/>
      <c r="L159" s="232"/>
      <c r="M159" s="130" t="s">
        <v>17</v>
      </c>
      <c r="N159" s="15">
        <f t="shared" si="611"/>
        <v>1.7626887038001047</v>
      </c>
      <c r="O159" s="15">
        <f t="shared" si="611"/>
        <v>1.7665929203539827</v>
      </c>
      <c r="P159" s="15">
        <f t="shared" si="611"/>
        <v>1.7841618948464344</v>
      </c>
      <c r="Q159" s="15">
        <f t="shared" si="611"/>
        <v>1.7626887038001047</v>
      </c>
      <c r="R159" s="15">
        <f t="shared" si="611"/>
        <v>1.7665929203539827</v>
      </c>
      <c r="S159" s="15">
        <f t="shared" si="611"/>
        <v>1.7841618948464344</v>
      </c>
      <c r="T159" s="20">
        <f t="shared" si="551"/>
        <v>1.7711478396668408</v>
      </c>
      <c r="U159" s="40">
        <f t="shared" si="552"/>
        <v>1.0230736078622217E-2</v>
      </c>
      <c r="V159" s="109"/>
      <c r="W159" s="110">
        <v>40</v>
      </c>
      <c r="X159" s="20">
        <f>IFERROR(($N$15-N159)/W159,"")</f>
        <v>-9.7605413846955089E-4</v>
      </c>
      <c r="Y159" s="15">
        <f>IFERROR(($O$15-O159)/W159,"")</f>
        <v>-1.1468636127017207E-3</v>
      </c>
      <c r="Z159" s="15">
        <f>IFERROR(($P$15-P159)/W159,"")</f>
        <v>-1.2932717334721456E-3</v>
      </c>
      <c r="AA159" s="15">
        <f>IFERROR(($Q$15-Q159)/W159,"")</f>
        <v>-9.7605413846955089E-4</v>
      </c>
      <c r="AB159" s="15">
        <f>IFERROR(($R$15-R159)/W159,"")</f>
        <v>-1.1468636127017207E-3</v>
      </c>
      <c r="AC159" s="15">
        <f>IFERROR(($S$15-S159)/W159,"")</f>
        <v>-1.2932717334721456E-3</v>
      </c>
      <c r="AD159" s="20">
        <f>IFERROR(AVERAGE(X159:AC159), "")</f>
        <v>-1.1387298282144723E-3</v>
      </c>
      <c r="AE159" s="40">
        <f>IFERROR(STDEV(X159:AC159), "")</f>
        <v>1.4200385764442117E-4</v>
      </c>
      <c r="AG159" s="229"/>
      <c r="AH159" s="77">
        <f>'Sample ID'!$F$7</f>
        <v>1</v>
      </c>
      <c r="AI159" s="77">
        <f>IFERROR((X159*$AH$33),"")</f>
        <v>-9.7605413846955089E-4</v>
      </c>
      <c r="AJ159" s="77">
        <f t="shared" ref="AJ159" si="617">IFERROR((Y159*$AH$33),"")</f>
        <v>-1.1468636127017207E-3</v>
      </c>
      <c r="AK159" s="77">
        <f t="shared" ref="AK159" si="618">IFERROR((Z159*$AH$33),"")</f>
        <v>-1.2932717334721456E-3</v>
      </c>
      <c r="AL159" s="77">
        <f t="shared" ref="AL159" si="619">IFERROR((AA159*$AH$33),"")</f>
        <v>-9.7605413846955089E-4</v>
      </c>
      <c r="AM159" s="77">
        <f t="shared" ref="AM159" si="620">IFERROR((AB159*$AH$33),"")</f>
        <v>-1.1468636127017207E-3</v>
      </c>
      <c r="AN159" s="77">
        <f t="shared" ref="AN159" si="621">IFERROR((AC159*$AH$33),"")</f>
        <v>-1.2932717334721456E-3</v>
      </c>
      <c r="AO159" s="40">
        <f t="shared" ref="AO159:AO165" si="622">IFERROR(AVERAGE(AI159:AN159),"")</f>
        <v>-1.1387298282144723E-3</v>
      </c>
      <c r="AP159" s="40">
        <f>IFERROR(STDEV(AI159:AN159), "")</f>
        <v>1.4200385764442117E-4</v>
      </c>
      <c r="AQ159" s="15"/>
      <c r="AR159" s="15"/>
    </row>
    <row r="160" spans="3:44">
      <c r="C160" s="232"/>
      <c r="D160" s="21" t="s">
        <v>18</v>
      </c>
      <c r="E160" s="22">
        <f>Data!B113</f>
        <v>1.99</v>
      </c>
      <c r="F160" s="22">
        <f>Data!C113</f>
        <v>2.0089999999999999</v>
      </c>
      <c r="G160" s="22">
        <f>Data!D113</f>
        <v>2.0009999999999999</v>
      </c>
      <c r="H160" s="22">
        <f>Data!E113</f>
        <v>1.99</v>
      </c>
      <c r="I160" s="22">
        <f>Data!F113</f>
        <v>2.0089999999999999</v>
      </c>
      <c r="J160" s="22">
        <f>Data!G113</f>
        <v>2.0009999999999999</v>
      </c>
      <c r="K160" s="22"/>
      <c r="L160" s="232"/>
      <c r="M160" s="130" t="s">
        <v>18</v>
      </c>
      <c r="N160" s="15">
        <f t="shared" si="611"/>
        <v>1.7500000000000004</v>
      </c>
      <c r="O160" s="15">
        <f t="shared" si="611"/>
        <v>1.7685450286309217</v>
      </c>
      <c r="P160" s="15">
        <f t="shared" si="611"/>
        <v>1.7607365955231653</v>
      </c>
      <c r="Q160" s="15">
        <f t="shared" si="611"/>
        <v>1.7500000000000004</v>
      </c>
      <c r="R160" s="15">
        <f t="shared" si="611"/>
        <v>1.7685450286309217</v>
      </c>
      <c r="S160" s="15">
        <f t="shared" si="611"/>
        <v>1.7607365955231653</v>
      </c>
      <c r="T160" s="20">
        <f t="shared" si="551"/>
        <v>1.7597605413846955</v>
      </c>
      <c r="U160" s="40">
        <f t="shared" si="552"/>
        <v>8.3279785298157223E-3</v>
      </c>
      <c r="V160" s="109"/>
      <c r="W160" s="110">
        <v>40</v>
      </c>
      <c r="X160" s="20">
        <f>IFERROR(($N$16-N160)/W160,"")</f>
        <v>-2.6841488807912708E-4</v>
      </c>
      <c r="Y160" s="15">
        <f>IFERROR(($O$16-O160)/W160,"")</f>
        <v>-2.1961218115564284E-4</v>
      </c>
      <c r="Z160" s="15">
        <f>IFERROR(($P$16-P160)/W160,"")</f>
        <v>6.3443519000521147E-4</v>
      </c>
      <c r="AA160" s="15">
        <f>IFERROR(($Q$16-Q160)/W160,"")</f>
        <v>-2.6841488807912708E-4</v>
      </c>
      <c r="AB160" s="15">
        <f>IFERROR(($R$16-R160)/W160,"")</f>
        <v>-2.1961218115564284E-4</v>
      </c>
      <c r="AC160" s="15">
        <f>IFERROR(($S$16-S160)/W160,"")</f>
        <v>6.3443519000521147E-4</v>
      </c>
      <c r="AD160" s="20">
        <f>IFERROR(AVERAGE(X160:AC160), "")</f>
        <v>4.8802706923480519E-5</v>
      </c>
      <c r="AE160" s="40">
        <f t="shared" ref="AE160:AE165" si="623">IFERROR(STDEV(X160:AC160), "")</f>
        <v>4.5415370083804916E-4</v>
      </c>
      <c r="AG160" s="229"/>
      <c r="AH160" s="77">
        <f>'Sample ID'!$F$8</f>
        <v>1</v>
      </c>
      <c r="AI160" s="77">
        <f>IFERROR((X160*$AH$34),"")</f>
        <v>-2.6841488807912708E-4</v>
      </c>
      <c r="AJ160" s="77">
        <f t="shared" ref="AJ160" si="624">IFERROR((Y160*$AH$34),"")</f>
        <v>-2.1961218115564284E-4</v>
      </c>
      <c r="AK160" s="77">
        <f t="shared" ref="AK160" si="625">IFERROR((Z160*$AH$34),"")</f>
        <v>6.3443519000521147E-4</v>
      </c>
      <c r="AL160" s="77">
        <f t="shared" ref="AL160" si="626">IFERROR((AA160*$AH$34),"")</f>
        <v>-2.6841488807912708E-4</v>
      </c>
      <c r="AM160" s="77">
        <f t="shared" ref="AM160" si="627">IFERROR((AB160*$AH$34),"")</f>
        <v>-2.1961218115564284E-4</v>
      </c>
      <c r="AN160" s="77">
        <f t="shared" ref="AN160" si="628">IFERROR((AC160*$AH$34),"")</f>
        <v>6.3443519000521147E-4</v>
      </c>
      <c r="AO160" s="40">
        <f t="shared" si="622"/>
        <v>4.8802706923480519E-5</v>
      </c>
      <c r="AP160" s="40">
        <f t="shared" ref="AP160:AP165" si="629">IFERROR(STDEV(AI160:AN160), "")</f>
        <v>4.5415370083804916E-4</v>
      </c>
      <c r="AQ160" s="15"/>
      <c r="AR160" s="15"/>
    </row>
    <row r="161" spans="3:44">
      <c r="C161" s="232"/>
      <c r="D161" s="21" t="s">
        <v>19</v>
      </c>
      <c r="E161" s="22">
        <f>Data!B114</f>
        <v>2.2559999999999998</v>
      </c>
      <c r="F161" s="22">
        <f>Data!C114</f>
        <v>2.27</v>
      </c>
      <c r="G161" s="22">
        <f>Data!D114</f>
        <v>2.2629999999999999</v>
      </c>
      <c r="H161" s="22">
        <f>Data!E114</f>
        <v>2.2559999999999998</v>
      </c>
      <c r="I161" s="22">
        <f>Data!F114</f>
        <v>2.27</v>
      </c>
      <c r="J161" s="22">
        <f>Data!G114</f>
        <v>2.2629999999999999</v>
      </c>
      <c r="K161" s="22"/>
      <c r="L161" s="232"/>
      <c r="M161" s="130" t="s">
        <v>19</v>
      </c>
      <c r="N161" s="15">
        <f t="shared" si="611"/>
        <v>2.0096304008328998</v>
      </c>
      <c r="O161" s="15">
        <f t="shared" si="611"/>
        <v>2.0232951587714738</v>
      </c>
      <c r="P161" s="15">
        <f t="shared" si="611"/>
        <v>2.0164627798021866</v>
      </c>
      <c r="Q161" s="15">
        <f t="shared" si="611"/>
        <v>2.0096304008328998</v>
      </c>
      <c r="R161" s="15">
        <f t="shared" si="611"/>
        <v>2.0232951587714738</v>
      </c>
      <c r="S161" s="15">
        <f t="shared" si="611"/>
        <v>2.0164627798021866</v>
      </c>
      <c r="T161" s="20">
        <f t="shared" si="551"/>
        <v>2.0164627798021866</v>
      </c>
      <c r="U161" s="40">
        <f t="shared" si="552"/>
        <v>6.1110655293462818E-3</v>
      </c>
      <c r="V161" s="109"/>
      <c r="W161" s="110">
        <v>40</v>
      </c>
      <c r="X161" s="20">
        <f>IFERROR(($N$17-N161)/W161,"")</f>
        <v>-5.026678813118168E-3</v>
      </c>
      <c r="Y161" s="15">
        <f>IFERROR(($O$17-O161)/W161,"")</f>
        <v>-5.4415018219677262E-3</v>
      </c>
      <c r="Z161" s="15">
        <f>IFERROR(($P$17-P161)/W161,"")</f>
        <v>-5.0754815200416362E-3</v>
      </c>
      <c r="AA161" s="15">
        <f>IFERROR(($Q$17-Q161)/W161,"")</f>
        <v>-5.026678813118168E-3</v>
      </c>
      <c r="AB161" s="15">
        <f>IFERROR(($R$17-R161)/W161,"")</f>
        <v>-5.4415018219677262E-3</v>
      </c>
      <c r="AC161" s="15">
        <f>IFERROR(($S$17-S161)/W161,"")</f>
        <v>-5.0754815200416362E-3</v>
      </c>
      <c r="AD161" s="20">
        <f t="shared" ref="AD161:AD165" si="630">IFERROR(AVERAGE(X161:AC161), "")</f>
        <v>-5.1812207183758426E-3</v>
      </c>
      <c r="AE161" s="40">
        <f t="shared" si="623"/>
        <v>2.0279076057063498E-4</v>
      </c>
      <c r="AG161" s="229"/>
      <c r="AH161" s="77">
        <f>'Sample ID'!$F$9</f>
        <v>1</v>
      </c>
      <c r="AI161" s="77">
        <f>IFERROR((X161*$AH$35),"")</f>
        <v>-5.026678813118168E-3</v>
      </c>
      <c r="AJ161" s="77">
        <f t="shared" ref="AJ161" si="631">IFERROR((Y161*$AH$35),"")</f>
        <v>-5.4415018219677262E-3</v>
      </c>
      <c r="AK161" s="77">
        <f t="shared" ref="AK161" si="632">IFERROR((Z161*$AH$35),"")</f>
        <v>-5.0754815200416362E-3</v>
      </c>
      <c r="AL161" s="77">
        <f t="shared" ref="AL161" si="633">IFERROR((AA161*$AH$35),"")</f>
        <v>-5.026678813118168E-3</v>
      </c>
      <c r="AM161" s="77">
        <f t="shared" ref="AM161" si="634">IFERROR((AB161*$AH$35),"")</f>
        <v>-5.4415018219677262E-3</v>
      </c>
      <c r="AN161" s="77">
        <f t="shared" ref="AN161" si="635">IFERROR((AC161*$AH$35),"")</f>
        <v>-5.0754815200416362E-3</v>
      </c>
      <c r="AO161" s="40">
        <f t="shared" si="622"/>
        <v>-5.1812207183758426E-3</v>
      </c>
      <c r="AP161" s="40">
        <f t="shared" si="629"/>
        <v>2.0279076057063498E-4</v>
      </c>
      <c r="AQ161" s="15"/>
      <c r="AR161" s="15"/>
    </row>
    <row r="162" spans="3:44">
      <c r="C162" s="232"/>
      <c r="D162" s="21" t="s">
        <v>20</v>
      </c>
      <c r="E162" s="22">
        <f>Data!B115</f>
        <v>2.1680000000000001</v>
      </c>
      <c r="F162" s="22">
        <f>Data!C115</f>
        <v>2.1920000000000002</v>
      </c>
      <c r="G162" s="22">
        <f>Data!D115</f>
        <v>2.194</v>
      </c>
      <c r="H162" s="22">
        <f>Data!E115</f>
        <v>2.1680000000000001</v>
      </c>
      <c r="I162" s="22">
        <f>Data!F115</f>
        <v>2.1920000000000002</v>
      </c>
      <c r="J162" s="22">
        <f>Data!G115</f>
        <v>2.194</v>
      </c>
      <c r="K162" s="22"/>
      <c r="L162" s="232"/>
      <c r="M162" s="130" t="s">
        <v>20</v>
      </c>
      <c r="N162" s="15">
        <f t="shared" si="611"/>
        <v>1.92373763664758</v>
      </c>
      <c r="O162" s="15">
        <f t="shared" si="611"/>
        <v>1.9471629359708491</v>
      </c>
      <c r="P162" s="15">
        <f t="shared" si="611"/>
        <v>1.949115044247788</v>
      </c>
      <c r="Q162" s="15">
        <f t="shared" si="611"/>
        <v>1.92373763664758</v>
      </c>
      <c r="R162" s="15">
        <f t="shared" si="611"/>
        <v>1.9471629359708491</v>
      </c>
      <c r="S162" s="15">
        <f t="shared" si="611"/>
        <v>1.949115044247788</v>
      </c>
      <c r="T162" s="20">
        <f t="shared" si="551"/>
        <v>1.9400052056220725</v>
      </c>
      <c r="U162" s="40">
        <f t="shared" si="552"/>
        <v>1.2631010472202874E-2</v>
      </c>
      <c r="V162" s="109"/>
      <c r="W162" s="110">
        <v>40</v>
      </c>
      <c r="X162" s="20">
        <f>IFERROR(($N$18-N162)/W162,"")</f>
        <v>-1.8789042165538784E-3</v>
      </c>
      <c r="Y162" s="15">
        <f>IFERROR(($O$18-O162)/W162,"")</f>
        <v>-3.0501691827173327E-3</v>
      </c>
      <c r="Z162" s="15">
        <f>IFERROR(($P$18-P162)/W162,"")</f>
        <v>-2.5621421134825626E-3</v>
      </c>
      <c r="AA162" s="15">
        <f>IFERROR(($Q$18-Q162)/W162,"")</f>
        <v>-1.8789042165538784E-3</v>
      </c>
      <c r="AB162" s="15">
        <f>IFERROR(($R$18-R162)/W162,"")</f>
        <v>-3.0501691827173327E-3</v>
      </c>
      <c r="AC162" s="15">
        <f>IFERROR(($S$18-S162)/W162,"")</f>
        <v>-2.5621421134825626E-3</v>
      </c>
      <c r="AD162" s="20">
        <f t="shared" si="630"/>
        <v>-2.4970718375845915E-3</v>
      </c>
      <c r="AE162" s="40">
        <f t="shared" si="623"/>
        <v>5.2622505515761823E-4</v>
      </c>
      <c r="AG162" s="229"/>
      <c r="AH162" s="77">
        <f>'Sample ID'!$F$10</f>
        <v>1</v>
      </c>
      <c r="AI162" s="77">
        <f>IFERROR((X162*$AH$36),"")</f>
        <v>-1.8789042165538784E-3</v>
      </c>
      <c r="AJ162" s="77">
        <f t="shared" ref="AJ162" si="636">IFERROR((Y162*$AH$36),"")</f>
        <v>-3.0501691827173327E-3</v>
      </c>
      <c r="AK162" s="77">
        <f t="shared" ref="AK162" si="637">IFERROR((Z162*$AH$36),"")</f>
        <v>-2.5621421134825626E-3</v>
      </c>
      <c r="AL162" s="77">
        <f t="shared" ref="AL162" si="638">IFERROR((AA162*$AH$36),"")</f>
        <v>-1.8789042165538784E-3</v>
      </c>
      <c r="AM162" s="77">
        <f t="shared" ref="AM162" si="639">IFERROR((AB162*$AH$36),"")</f>
        <v>-3.0501691827173327E-3</v>
      </c>
      <c r="AN162" s="77">
        <f t="shared" ref="AN162" si="640">IFERROR((AC162*$AH$36),"")</f>
        <v>-2.5621421134825626E-3</v>
      </c>
      <c r="AO162" s="40">
        <f t="shared" si="622"/>
        <v>-2.4970718375845915E-3</v>
      </c>
      <c r="AP162" s="40">
        <f t="shared" si="629"/>
        <v>5.2622505515761823E-4</v>
      </c>
      <c r="AQ162" s="15"/>
      <c r="AR162" s="15"/>
    </row>
    <row r="163" spans="3:44">
      <c r="C163" s="232"/>
      <c r="D163" s="21" t="s">
        <v>21</v>
      </c>
      <c r="E163" s="22">
        <f>Data!B116</f>
        <v>1.4239999999999999</v>
      </c>
      <c r="F163" s="22">
        <f>Data!C116</f>
        <v>1.4630000000000001</v>
      </c>
      <c r="G163" s="22">
        <f>Data!D116</f>
        <v>1.4039999999999999</v>
      </c>
      <c r="H163" s="22">
        <f>Data!E116</f>
        <v>1.4239999999999999</v>
      </c>
      <c r="I163" s="22">
        <f>Data!F116</f>
        <v>1.4630000000000001</v>
      </c>
      <c r="J163" s="22">
        <f>Data!G116</f>
        <v>1.4039999999999999</v>
      </c>
      <c r="K163" s="22"/>
      <c r="L163" s="232"/>
      <c r="M163" s="130" t="s">
        <v>21</v>
      </c>
      <c r="N163" s="15">
        <f t="shared" si="611"/>
        <v>1.1975533576262365</v>
      </c>
      <c r="O163" s="15">
        <f t="shared" si="611"/>
        <v>1.235619469026549</v>
      </c>
      <c r="P163" s="15">
        <f t="shared" si="611"/>
        <v>1.1780322748568455</v>
      </c>
      <c r="Q163" s="15">
        <f t="shared" si="611"/>
        <v>1.1975533576262365</v>
      </c>
      <c r="R163" s="15">
        <f t="shared" si="611"/>
        <v>1.235619469026549</v>
      </c>
      <c r="S163" s="15">
        <f t="shared" si="611"/>
        <v>1.1780322748568455</v>
      </c>
      <c r="T163" s="20">
        <f t="shared" si="551"/>
        <v>1.2037350338365436</v>
      </c>
      <c r="U163" s="40">
        <f t="shared" si="552"/>
        <v>2.6195130443066563E-2</v>
      </c>
      <c r="V163" s="109"/>
      <c r="W163" s="110">
        <v>40</v>
      </c>
      <c r="X163" s="20">
        <f>IFERROR(($N$19-N163)/W163,"")</f>
        <v>1.1541840187402402E-2</v>
      </c>
      <c r="Y163" s="15">
        <f>IFERROR(($O$19-O163)/W163,"")</f>
        <v>1.1493037480478918E-2</v>
      </c>
      <c r="Z163" s="15">
        <f>IFERROR(($P$19-P163)/W163,"")</f>
        <v>1.19810645497137E-2</v>
      </c>
      <c r="AA163" s="15">
        <f>IFERROR(($Q$19-Q163)/W163,"")</f>
        <v>1.1541840187402402E-2</v>
      </c>
      <c r="AB163" s="15">
        <f>IFERROR(($R$19-R163)/W163,"")</f>
        <v>1.1493037480478918E-2</v>
      </c>
      <c r="AC163" s="15">
        <f>IFERROR(($S$19-S163)/W163,"")</f>
        <v>1.19810645497137E-2</v>
      </c>
      <c r="AD163" s="20">
        <f t="shared" si="630"/>
        <v>1.167198073919834E-2</v>
      </c>
      <c r="AE163" s="40">
        <f t="shared" si="623"/>
        <v>2.4040803229973147E-4</v>
      </c>
      <c r="AG163" s="229"/>
      <c r="AH163" s="77">
        <f>'Sample ID'!$F$11</f>
        <v>0</v>
      </c>
      <c r="AI163" s="77">
        <f>IFERROR((X163*$AH$37),"")</f>
        <v>0</v>
      </c>
      <c r="AJ163" s="77">
        <f t="shared" ref="AJ163" si="641">IFERROR((Y163*$AH$37),"")</f>
        <v>0</v>
      </c>
      <c r="AK163" s="77">
        <f t="shared" ref="AK163" si="642">IFERROR((Z163*$AH$37),"")</f>
        <v>0</v>
      </c>
      <c r="AL163" s="77">
        <f t="shared" ref="AL163" si="643">IFERROR((AA163*$AH$37),"")</f>
        <v>0</v>
      </c>
      <c r="AM163" s="77">
        <f t="shared" ref="AM163" si="644">IFERROR((AB163*$AH$37),"")</f>
        <v>0</v>
      </c>
      <c r="AN163" s="77">
        <f t="shared" ref="AN163" si="645">IFERROR((AC163*$AH$37),"")</f>
        <v>0</v>
      </c>
      <c r="AO163" s="40">
        <f t="shared" si="622"/>
        <v>0</v>
      </c>
      <c r="AP163" s="40">
        <f t="shared" si="629"/>
        <v>0</v>
      </c>
      <c r="AQ163" s="15"/>
      <c r="AR163" s="15"/>
    </row>
    <row r="164" spans="3:44">
      <c r="C164" s="232"/>
      <c r="D164" s="21" t="s">
        <v>22</v>
      </c>
      <c r="E164" s="22">
        <f>Data!B117</f>
        <v>1.722</v>
      </c>
      <c r="F164" s="22">
        <f>Data!C117</f>
        <v>1.704</v>
      </c>
      <c r="G164" s="22">
        <f>Data!D117</f>
        <v>1.726</v>
      </c>
      <c r="H164" s="22">
        <f>Data!E117</f>
        <v>1.722</v>
      </c>
      <c r="I164" s="22">
        <f>Data!F117</f>
        <v>1.704</v>
      </c>
      <c r="J164" s="22">
        <f>Data!G117</f>
        <v>1.726</v>
      </c>
      <c r="K164" s="22"/>
      <c r="L164" s="232"/>
      <c r="M164" s="130" t="s">
        <v>22</v>
      </c>
      <c r="N164" s="15">
        <f t="shared" si="611"/>
        <v>1.4884174908901617</v>
      </c>
      <c r="O164" s="15">
        <f t="shared" si="611"/>
        <v>1.4708485163977099</v>
      </c>
      <c r="P164" s="15">
        <f t="shared" si="611"/>
        <v>1.4923217074440398</v>
      </c>
      <c r="Q164" s="15">
        <f t="shared" si="611"/>
        <v>1.4884174908901617</v>
      </c>
      <c r="R164" s="15">
        <f t="shared" si="611"/>
        <v>1.4708485163977099</v>
      </c>
      <c r="S164" s="15">
        <f t="shared" si="611"/>
        <v>1.4923217074440398</v>
      </c>
      <c r="T164" s="20">
        <f t="shared" si="551"/>
        <v>1.4838625715773037</v>
      </c>
      <c r="U164" s="40">
        <f t="shared" si="552"/>
        <v>1.023073607862233E-2</v>
      </c>
      <c r="V164" s="109"/>
      <c r="W164" s="110">
        <v>40</v>
      </c>
      <c r="X164" s="20">
        <f>IFERROR(($N$20-N164)/W164,"")</f>
        <v>4.5142503904216594E-3</v>
      </c>
      <c r="Y164" s="15">
        <f>IFERROR(($O$20-O164)/W164,"")</f>
        <v>4.8314679854242594E-3</v>
      </c>
      <c r="Z164" s="15">
        <f>IFERROR(($P$20-P164)/W164,"")</f>
        <v>4.5874544508068714E-3</v>
      </c>
      <c r="AA164" s="15">
        <f>IFERROR(($Q$20-Q164)/W164,"")</f>
        <v>4.5142503904216594E-3</v>
      </c>
      <c r="AB164" s="15">
        <f>IFERROR(($R$20-R164)/W164,"")</f>
        <v>4.8314679854242594E-3</v>
      </c>
      <c r="AC164" s="15">
        <f>IFERROR(($S$20-S164)/W164,"")</f>
        <v>4.5874544508068714E-3</v>
      </c>
      <c r="AD164" s="20">
        <f t="shared" si="630"/>
        <v>4.6443909422175973E-3</v>
      </c>
      <c r="AE164" s="40">
        <f t="shared" si="623"/>
        <v>1.4856129693949523E-4</v>
      </c>
      <c r="AG164" s="229"/>
      <c r="AH164" s="77">
        <f>'Sample ID'!$F$12</f>
        <v>0</v>
      </c>
      <c r="AI164" s="77">
        <f>IFERROR((X164*$AH$38),"")</f>
        <v>0</v>
      </c>
      <c r="AJ164" s="77">
        <f t="shared" ref="AJ164" si="646">IFERROR((Y164*$AH$38),"")</f>
        <v>0</v>
      </c>
      <c r="AK164" s="77">
        <f t="shared" ref="AK164" si="647">IFERROR((Z164*$AH$38),"")</f>
        <v>0</v>
      </c>
      <c r="AL164" s="77">
        <f t="shared" ref="AL164" si="648">IFERROR((AA164*$AH$38),"")</f>
        <v>0</v>
      </c>
      <c r="AM164" s="77">
        <f t="shared" ref="AM164" si="649">IFERROR((AB164*$AH$38),"")</f>
        <v>0</v>
      </c>
      <c r="AN164" s="77">
        <f t="shared" ref="AN164" si="650">IFERROR((AC164*$AH$38),"")</f>
        <v>0</v>
      </c>
      <c r="AO164" s="40">
        <f t="shared" si="622"/>
        <v>0</v>
      </c>
      <c r="AP164" s="40">
        <f t="shared" si="629"/>
        <v>0</v>
      </c>
      <c r="AQ164" s="15"/>
      <c r="AR164" s="15"/>
    </row>
    <row r="165" spans="3:44">
      <c r="C165" s="232"/>
      <c r="D165" s="21" t="s">
        <v>23</v>
      </c>
      <c r="E165" s="22">
        <f>Data!B118</f>
        <v>0</v>
      </c>
      <c r="F165" s="22">
        <f>Data!C118</f>
        <v>0</v>
      </c>
      <c r="G165" s="22">
        <f>Data!D118</f>
        <v>0</v>
      </c>
      <c r="H165" s="22">
        <f>Data!E118</f>
        <v>0</v>
      </c>
      <c r="I165" s="22">
        <f>Data!F118</f>
        <v>0</v>
      </c>
      <c r="J165" s="22">
        <f>Data!G118</f>
        <v>0</v>
      </c>
      <c r="K165" s="22"/>
      <c r="L165" s="232"/>
      <c r="M165" s="130" t="s">
        <v>23</v>
      </c>
      <c r="N165" s="15" t="str">
        <f t="shared" si="611"/>
        <v xml:space="preserve"> </v>
      </c>
      <c r="O165" s="15" t="str">
        <f t="shared" si="611"/>
        <v xml:space="preserve"> </v>
      </c>
      <c r="P165" s="15" t="str">
        <f t="shared" si="611"/>
        <v xml:space="preserve"> </v>
      </c>
      <c r="Q165" s="15" t="str">
        <f t="shared" si="611"/>
        <v xml:space="preserve"> </v>
      </c>
      <c r="R165" s="15" t="str">
        <f t="shared" si="611"/>
        <v xml:space="preserve"> </v>
      </c>
      <c r="S165" s="15" t="str">
        <f t="shared" si="611"/>
        <v xml:space="preserve"> </v>
      </c>
      <c r="T165" s="20" t="str">
        <f t="shared" si="551"/>
        <v/>
      </c>
      <c r="U165" s="40" t="str">
        <f t="shared" si="552"/>
        <v/>
      </c>
      <c r="V165" s="109"/>
      <c r="W165" s="110">
        <v>40</v>
      </c>
      <c r="X165" s="20" t="str">
        <f>IFERROR(($N$21-N165)/W165,"")</f>
        <v/>
      </c>
      <c r="Y165" s="15" t="str">
        <f>IFERROR(($O$21-O165)/W165,"")</f>
        <v/>
      </c>
      <c r="Z165" s="15" t="str">
        <f>IFERROR(($P$21-P165)/W165,"")</f>
        <v/>
      </c>
      <c r="AA165" s="15" t="str">
        <f>IFERROR(($Q$21-Q165)/W165,"")</f>
        <v/>
      </c>
      <c r="AB165" s="15" t="str">
        <f>IFERROR(($R$21-R165)/W165,"")</f>
        <v/>
      </c>
      <c r="AC165" s="15" t="str">
        <f>IFERROR(($S$21-S165)/W165,"")</f>
        <v/>
      </c>
      <c r="AD165" s="20" t="str">
        <f t="shared" si="630"/>
        <v/>
      </c>
      <c r="AE165" s="40" t="str">
        <f t="shared" si="623"/>
        <v/>
      </c>
      <c r="AG165" s="229"/>
      <c r="AH165" s="77">
        <f>'Sample ID'!$F$13</f>
        <v>0</v>
      </c>
      <c r="AI165" s="77" t="str">
        <f>IFERROR((X165*$AH$39),"")</f>
        <v/>
      </c>
      <c r="AJ165" s="77" t="str">
        <f t="shared" ref="AJ165" si="651">IFERROR((Y165*$AH$39),"")</f>
        <v/>
      </c>
      <c r="AK165" s="77" t="str">
        <f t="shared" ref="AK165" si="652">IFERROR((Z165*$AH$39),"")</f>
        <v/>
      </c>
      <c r="AL165" s="77" t="str">
        <f t="shared" ref="AL165" si="653">IFERROR((AA165*$AH$39),"")</f>
        <v/>
      </c>
      <c r="AM165" s="77" t="str">
        <f t="shared" ref="AM165" si="654">IFERROR((AB165*$AH$39),"")</f>
        <v/>
      </c>
      <c r="AN165" s="77" t="str">
        <f t="shared" ref="AN165" si="655">IFERROR((AC165*$AH$39),"")</f>
        <v/>
      </c>
      <c r="AO165" s="40" t="str">
        <f t="shared" si="622"/>
        <v/>
      </c>
      <c r="AP165" s="40" t="str">
        <f t="shared" si="629"/>
        <v/>
      </c>
      <c r="AQ165" s="15"/>
      <c r="AR165" s="15"/>
    </row>
    <row r="166" spans="3:44">
      <c r="C166" s="232"/>
      <c r="D166" s="39"/>
      <c r="E166" s="56">
        <v>7</v>
      </c>
      <c r="F166" s="56">
        <v>8</v>
      </c>
      <c r="G166" s="57">
        <v>9</v>
      </c>
      <c r="H166" s="56">
        <v>10</v>
      </c>
      <c r="I166" s="56">
        <v>11</v>
      </c>
      <c r="J166" s="57">
        <v>12</v>
      </c>
      <c r="K166" s="27"/>
      <c r="L166" s="232"/>
      <c r="M166" s="38"/>
      <c r="N166" s="59">
        <v>7</v>
      </c>
      <c r="O166" s="38">
        <v>8</v>
      </c>
      <c r="P166" s="38">
        <v>9</v>
      </c>
      <c r="Q166" s="38">
        <v>10</v>
      </c>
      <c r="R166" s="38">
        <v>11</v>
      </c>
      <c r="S166" s="50">
        <v>12</v>
      </c>
      <c r="T166" s="38" t="s">
        <v>24</v>
      </c>
      <c r="U166" s="51" t="s">
        <v>3</v>
      </c>
      <c r="V166" s="109"/>
      <c r="W166" s="98"/>
      <c r="X166" s="38">
        <v>7</v>
      </c>
      <c r="Y166" s="38">
        <v>8</v>
      </c>
      <c r="Z166" s="38">
        <v>9</v>
      </c>
      <c r="AA166" s="38">
        <v>10</v>
      </c>
      <c r="AB166" s="38">
        <v>11</v>
      </c>
      <c r="AC166" s="50">
        <v>12</v>
      </c>
      <c r="AD166" s="50" t="s">
        <v>49</v>
      </c>
      <c r="AE166" s="51" t="s">
        <v>3</v>
      </c>
      <c r="AG166" s="229"/>
      <c r="AH166" s="119"/>
      <c r="AI166" s="119"/>
      <c r="AJ166" s="119"/>
      <c r="AK166" s="119"/>
      <c r="AL166" s="119"/>
      <c r="AM166" s="119"/>
      <c r="AN166" s="119"/>
      <c r="AO166" s="100" t="str">
        <f>IFERROR(#REF!/(#REF!/W166), " ")</f>
        <v xml:space="preserve"> </v>
      </c>
      <c r="AP166" s="51" t="s">
        <v>3</v>
      </c>
      <c r="AQ166" s="15"/>
      <c r="AR166" s="15"/>
    </row>
    <row r="167" spans="3:44">
      <c r="C167" s="232"/>
      <c r="D167" s="21" t="s">
        <v>16</v>
      </c>
      <c r="E167" s="22">
        <f>Data!H111</f>
        <v>0</v>
      </c>
      <c r="F167" s="22">
        <f>Data!I111</f>
        <v>0</v>
      </c>
      <c r="G167" s="22">
        <f>Data!J111</f>
        <v>0</v>
      </c>
      <c r="H167" s="22">
        <f>Data!K111</f>
        <v>0</v>
      </c>
      <c r="I167" s="22">
        <f>Data!L111</f>
        <v>0</v>
      </c>
      <c r="J167" s="22">
        <f>Data!M111</f>
        <v>0</v>
      </c>
      <c r="K167" s="22"/>
      <c r="L167" s="232"/>
      <c r="M167" s="130" t="s">
        <v>16</v>
      </c>
      <c r="N167" s="15" t="str">
        <f t="shared" ref="N167:S174" si="656">IF(((E167-$P$11)/$P$10)&gt;0,((E167-$P$11)/$P$10)," ")</f>
        <v xml:space="preserve"> </v>
      </c>
      <c r="O167" s="15" t="str">
        <f t="shared" si="656"/>
        <v xml:space="preserve"> </v>
      </c>
      <c r="P167" s="15" t="str">
        <f t="shared" si="656"/>
        <v xml:space="preserve"> </v>
      </c>
      <c r="Q167" s="15" t="str">
        <f t="shared" si="656"/>
        <v xml:space="preserve"> </v>
      </c>
      <c r="R167" s="15" t="str">
        <f t="shared" si="656"/>
        <v xml:space="preserve"> </v>
      </c>
      <c r="S167" s="15" t="str">
        <f t="shared" si="656"/>
        <v xml:space="preserve"> </v>
      </c>
      <c r="T167" s="20" t="str">
        <f t="shared" si="551"/>
        <v/>
      </c>
      <c r="U167" s="40" t="str">
        <f t="shared" si="552"/>
        <v/>
      </c>
      <c r="V167" s="109"/>
      <c r="W167" s="110">
        <v>40</v>
      </c>
      <c r="X167" s="20" t="str">
        <f>IFERROR(($N$23-N167)/W167,"")</f>
        <v/>
      </c>
      <c r="Y167" s="15" t="str">
        <f>IFERROR(($O$23-O167)/W167,"")</f>
        <v/>
      </c>
      <c r="Z167" s="15" t="str">
        <f>IFERROR(($P$23-P167)/W167,"")</f>
        <v/>
      </c>
      <c r="AA167" s="15" t="str">
        <f>IFERROR(($Q$23-Q167)/W167,"")</f>
        <v/>
      </c>
      <c r="AB167" s="15" t="str">
        <f>IFERROR(($R$23-R167)/W167,"")</f>
        <v/>
      </c>
      <c r="AC167" s="15" t="str">
        <f>IFERROR(($S$23-S167)/W167,"")</f>
        <v/>
      </c>
      <c r="AD167" s="20" t="str">
        <f t="shared" ref="AD167:AD168" si="657">IFERROR(AVERAGE(X167:AC167), "")</f>
        <v/>
      </c>
      <c r="AE167" s="40" t="str">
        <f t="shared" ref="AE167:AE168" si="658">IFERROR(STDEV(X167:AC167), "")</f>
        <v/>
      </c>
      <c r="AG167" s="229"/>
      <c r="AH167" s="77">
        <f>'Sample ID'!$F$14</f>
        <v>0</v>
      </c>
      <c r="AI167" s="77" t="str">
        <f>IFERROR((X167*$AH$41),"")</f>
        <v/>
      </c>
      <c r="AJ167" s="77" t="str">
        <f t="shared" ref="AJ167" si="659">IFERROR((Y167*$AH$41),"")</f>
        <v/>
      </c>
      <c r="AK167" s="77" t="str">
        <f t="shared" ref="AK167" si="660">IFERROR((Z167*$AH$41),"")</f>
        <v/>
      </c>
      <c r="AL167" s="77" t="str">
        <f t="shared" ref="AL167" si="661">IFERROR((AA167*$AH$41),"")</f>
        <v/>
      </c>
      <c r="AM167" s="77" t="str">
        <f t="shared" ref="AM167" si="662">IFERROR((AB167*$AH$41),"")</f>
        <v/>
      </c>
      <c r="AN167" s="77" t="str">
        <f t="shared" ref="AN167" si="663">IFERROR((AC167*$AH$41),"")</f>
        <v/>
      </c>
      <c r="AO167" s="40" t="str">
        <f>IFERROR(AVERAGE(AI167:AN167),"")</f>
        <v/>
      </c>
      <c r="AP167" s="40" t="str">
        <f t="shared" ref="AP167:AP168" si="664">IFERROR(STDEV(AI167:AN167), "")</f>
        <v/>
      </c>
      <c r="AQ167" s="15"/>
      <c r="AR167" s="15"/>
    </row>
    <row r="168" spans="3:44">
      <c r="C168" s="232"/>
      <c r="D168" s="21" t="s">
        <v>17</v>
      </c>
      <c r="E168" s="22">
        <f>Data!H112</f>
        <v>0</v>
      </c>
      <c r="F168" s="22">
        <f>Data!I112</f>
        <v>0</v>
      </c>
      <c r="G168" s="22">
        <f>Data!J112</f>
        <v>0</v>
      </c>
      <c r="H168" s="22">
        <f>Data!K112</f>
        <v>0</v>
      </c>
      <c r="I168" s="22">
        <f>Data!L112</f>
        <v>0</v>
      </c>
      <c r="J168" s="22">
        <f>Data!M112</f>
        <v>0</v>
      </c>
      <c r="K168" s="22"/>
      <c r="L168" s="232"/>
      <c r="M168" s="130" t="s">
        <v>17</v>
      </c>
      <c r="N168" s="15" t="str">
        <f t="shared" si="656"/>
        <v xml:space="preserve"> </v>
      </c>
      <c r="O168" s="15" t="str">
        <f t="shared" si="656"/>
        <v xml:space="preserve"> </v>
      </c>
      <c r="P168" s="15" t="str">
        <f t="shared" si="656"/>
        <v xml:space="preserve"> </v>
      </c>
      <c r="Q168" s="15" t="str">
        <f t="shared" si="656"/>
        <v xml:space="preserve"> </v>
      </c>
      <c r="R168" s="15" t="str">
        <f t="shared" si="656"/>
        <v xml:space="preserve"> </v>
      </c>
      <c r="S168" s="15" t="str">
        <f t="shared" si="656"/>
        <v xml:space="preserve"> </v>
      </c>
      <c r="T168" s="20" t="str">
        <f t="shared" si="551"/>
        <v/>
      </c>
      <c r="U168" s="40" t="str">
        <f t="shared" si="552"/>
        <v/>
      </c>
      <c r="V168" s="109"/>
      <c r="W168" s="110">
        <v>40</v>
      </c>
      <c r="X168" s="20" t="str">
        <f>IFERROR(($N$24-N168)/W168,"")</f>
        <v/>
      </c>
      <c r="Y168" s="15" t="str">
        <f>IFERROR(($O$24-O168)/W168,"")</f>
        <v/>
      </c>
      <c r="Z168" s="15" t="str">
        <f>IFERROR(($P$24-P168)/W168,"")</f>
        <v/>
      </c>
      <c r="AA168" s="15" t="str">
        <f>IFERROR(($Q$24-Q168)/W168,"")</f>
        <v/>
      </c>
      <c r="AB168" s="15" t="str">
        <f>IFERROR(($R$24-R168)/W168,"")</f>
        <v/>
      </c>
      <c r="AC168" s="15" t="str">
        <f>IFERROR(($S$24-S168)/W168,"")</f>
        <v/>
      </c>
      <c r="AD168" s="20" t="str">
        <f t="shared" si="657"/>
        <v/>
      </c>
      <c r="AE168" s="40" t="str">
        <f t="shared" si="658"/>
        <v/>
      </c>
      <c r="AG168" s="229"/>
      <c r="AH168" s="77">
        <f>'Sample ID'!$F$15</f>
        <v>0</v>
      </c>
      <c r="AI168" s="77" t="str">
        <f>IFERROR((X168*$AH$42),"")</f>
        <v/>
      </c>
      <c r="AJ168" s="77" t="str">
        <f t="shared" ref="AJ168" si="665">IFERROR((Y168*$AH$42),"")</f>
        <v/>
      </c>
      <c r="AK168" s="77" t="str">
        <f t="shared" ref="AK168" si="666">IFERROR((Z168*$AH$42),"")</f>
        <v/>
      </c>
      <c r="AL168" s="77" t="str">
        <f t="shared" ref="AL168" si="667">IFERROR((AA168*$AH$42),"")</f>
        <v/>
      </c>
      <c r="AM168" s="77" t="str">
        <f t="shared" ref="AM168" si="668">IFERROR((AB168*$AH$42),"")</f>
        <v/>
      </c>
      <c r="AN168" s="77" t="str">
        <f t="shared" ref="AN168" si="669">IFERROR((AC168*$AH$42),"")</f>
        <v/>
      </c>
      <c r="AO168" s="40" t="str">
        <f t="shared" ref="AO168:AO174" si="670">IFERROR(AVERAGE(AI168:AN168),"")</f>
        <v/>
      </c>
      <c r="AP168" s="40" t="str">
        <f t="shared" si="664"/>
        <v/>
      </c>
      <c r="AQ168" s="15"/>
      <c r="AR168" s="15"/>
    </row>
    <row r="169" spans="3:44">
      <c r="C169" s="232"/>
      <c r="D169" s="21" t="s">
        <v>18</v>
      </c>
      <c r="E169" s="22">
        <f>Data!H113</f>
        <v>0</v>
      </c>
      <c r="F169" s="22">
        <f>Data!I113</f>
        <v>0</v>
      </c>
      <c r="G169" s="22">
        <f>Data!J113</f>
        <v>0</v>
      </c>
      <c r="H169" s="22">
        <f>Data!K113</f>
        <v>0</v>
      </c>
      <c r="I169" s="22">
        <f>Data!L113</f>
        <v>0</v>
      </c>
      <c r="J169" s="22">
        <f>Data!M113</f>
        <v>0</v>
      </c>
      <c r="K169" s="22"/>
      <c r="L169" s="232"/>
      <c r="M169" s="130" t="s">
        <v>18</v>
      </c>
      <c r="N169" s="15" t="str">
        <f t="shared" si="656"/>
        <v xml:space="preserve"> </v>
      </c>
      <c r="O169" s="15" t="str">
        <f t="shared" si="656"/>
        <v xml:space="preserve"> </v>
      </c>
      <c r="P169" s="15" t="str">
        <f t="shared" si="656"/>
        <v xml:space="preserve"> </v>
      </c>
      <c r="Q169" s="15" t="str">
        <f t="shared" si="656"/>
        <v xml:space="preserve"> </v>
      </c>
      <c r="R169" s="15" t="str">
        <f t="shared" si="656"/>
        <v xml:space="preserve"> </v>
      </c>
      <c r="S169" s="15" t="str">
        <f t="shared" si="656"/>
        <v xml:space="preserve"> </v>
      </c>
      <c r="T169" s="20" t="str">
        <f t="shared" si="551"/>
        <v/>
      </c>
      <c r="U169" s="40" t="str">
        <f t="shared" si="552"/>
        <v/>
      </c>
      <c r="V169" s="109"/>
      <c r="W169" s="110">
        <v>40</v>
      </c>
      <c r="X169" s="20" t="str">
        <f>IFERROR(($N$25-N169)/W169,"")</f>
        <v/>
      </c>
      <c r="Y169" s="15" t="str">
        <f>IFERROR(($O$25-O169)/W169,"")</f>
        <v/>
      </c>
      <c r="Z169" s="15" t="str">
        <f>IFERROR(($P$25-P169)/W169,"")</f>
        <v/>
      </c>
      <c r="AA169" s="15" t="str">
        <f>IFERROR(($Q$25-Q169)/W169,"")</f>
        <v/>
      </c>
      <c r="AB169" s="15" t="str">
        <f>IFERROR(($R$25-R169)/W169,"")</f>
        <v/>
      </c>
      <c r="AC169" s="15" t="str">
        <f>IFERROR(($S$25-S169)/W169,"")</f>
        <v/>
      </c>
      <c r="AD169" s="20" t="str">
        <f>IFERROR(AVERAGE(X169:AC169), "")</f>
        <v/>
      </c>
      <c r="AE169" s="40" t="str">
        <f>IFERROR(STDEV(X169:AC169), "")</f>
        <v/>
      </c>
      <c r="AG169" s="229"/>
      <c r="AH169" s="77">
        <f>'Sample ID'!$F$16</f>
        <v>0</v>
      </c>
      <c r="AI169" s="77" t="str">
        <f>IFERROR((X169*$AH$43),"")</f>
        <v/>
      </c>
      <c r="AJ169" s="77" t="str">
        <f t="shared" ref="AJ169" si="671">IFERROR((Y169*$AH$43),"")</f>
        <v/>
      </c>
      <c r="AK169" s="77" t="str">
        <f t="shared" ref="AK169" si="672">IFERROR((Z169*$AH$43),"")</f>
        <v/>
      </c>
      <c r="AL169" s="77" t="str">
        <f t="shared" ref="AL169" si="673">IFERROR((AA169*$AH$43),"")</f>
        <v/>
      </c>
      <c r="AM169" s="77" t="str">
        <f t="shared" ref="AM169" si="674">IFERROR((AB169*$AH$43),"")</f>
        <v/>
      </c>
      <c r="AN169" s="77" t="str">
        <f t="shared" ref="AN169" si="675">IFERROR((AC169*$AH$43),"")</f>
        <v/>
      </c>
      <c r="AO169" s="40" t="str">
        <f t="shared" si="670"/>
        <v/>
      </c>
      <c r="AP169" s="40" t="str">
        <f>IFERROR(STDEV(AI169:AN169), "")</f>
        <v/>
      </c>
      <c r="AQ169" s="15"/>
      <c r="AR169" s="15"/>
    </row>
    <row r="170" spans="3:44">
      <c r="C170" s="232"/>
      <c r="D170" s="21" t="s">
        <v>19</v>
      </c>
      <c r="E170" s="22">
        <f>Data!H114</f>
        <v>0</v>
      </c>
      <c r="F170" s="22">
        <f>Data!I114</f>
        <v>0</v>
      </c>
      <c r="G170" s="22">
        <f>Data!J114</f>
        <v>0</v>
      </c>
      <c r="H170" s="22">
        <f>Data!K114</f>
        <v>0</v>
      </c>
      <c r="I170" s="22">
        <f>Data!L114</f>
        <v>0</v>
      </c>
      <c r="J170" s="22">
        <f>Data!M114</f>
        <v>0</v>
      </c>
      <c r="K170" s="22"/>
      <c r="L170" s="232"/>
      <c r="M170" s="130" t="s">
        <v>19</v>
      </c>
      <c r="N170" s="15" t="str">
        <f t="shared" si="656"/>
        <v xml:space="preserve"> </v>
      </c>
      <c r="O170" s="15" t="str">
        <f t="shared" si="656"/>
        <v xml:space="preserve"> </v>
      </c>
      <c r="P170" s="15" t="str">
        <f t="shared" si="656"/>
        <v xml:space="preserve"> </v>
      </c>
      <c r="Q170" s="15" t="str">
        <f t="shared" si="656"/>
        <v xml:space="preserve"> </v>
      </c>
      <c r="R170" s="15" t="str">
        <f t="shared" si="656"/>
        <v xml:space="preserve"> </v>
      </c>
      <c r="S170" s="15" t="str">
        <f t="shared" si="656"/>
        <v xml:space="preserve"> </v>
      </c>
      <c r="T170" s="20" t="str">
        <f t="shared" si="551"/>
        <v/>
      </c>
      <c r="U170" s="40" t="str">
        <f t="shared" si="552"/>
        <v/>
      </c>
      <c r="V170" s="109"/>
      <c r="W170" s="110">
        <v>40</v>
      </c>
      <c r="X170" s="20" t="str">
        <f>IFERROR(($N$26-N170)/W170,"")</f>
        <v/>
      </c>
      <c r="Y170" s="15" t="str">
        <f>IFERROR(($O$26-O170)/W170,"")</f>
        <v/>
      </c>
      <c r="Z170" s="15" t="str">
        <f>IFERROR(($P$26-P170)/W170,"")</f>
        <v/>
      </c>
      <c r="AA170" s="15" t="str">
        <f>IFERROR(($Q$17-Q170)/W170,"")</f>
        <v/>
      </c>
      <c r="AB170" s="15" t="str">
        <f>IFERROR(($R$26-R170)/W170,"")</f>
        <v/>
      </c>
      <c r="AC170" s="15" t="str">
        <f>IFERROR(($S$26-S170)/W170,"")</f>
        <v/>
      </c>
      <c r="AD170" s="20" t="str">
        <f t="shared" ref="AD170:AD173" si="676">IFERROR(AVERAGE(X170:AC170), "")</f>
        <v/>
      </c>
      <c r="AE170" s="40" t="str">
        <f t="shared" ref="AE170:AE174" si="677">IFERROR(STDEV(X170:AC170), "")</f>
        <v/>
      </c>
      <c r="AG170" s="229"/>
      <c r="AH170" s="77">
        <f>'Sample ID'!$F$17</f>
        <v>0</v>
      </c>
      <c r="AI170" s="77" t="str">
        <f>IFERROR((X170*$AH$44),"")</f>
        <v/>
      </c>
      <c r="AJ170" s="77" t="str">
        <f t="shared" ref="AJ170" si="678">IFERROR((Y170*$AH$44),"")</f>
        <v/>
      </c>
      <c r="AK170" s="77" t="str">
        <f t="shared" ref="AK170" si="679">IFERROR((Z170*$AH$44),"")</f>
        <v/>
      </c>
      <c r="AL170" s="77" t="str">
        <f t="shared" ref="AL170" si="680">IFERROR((AA170*$AH$44),"")</f>
        <v/>
      </c>
      <c r="AM170" s="77" t="str">
        <f t="shared" ref="AM170" si="681">IFERROR((AB170*$AH$44),"")</f>
        <v/>
      </c>
      <c r="AN170" s="77" t="str">
        <f t="shared" ref="AN170" si="682">IFERROR((AC170*$AH$44),"")</f>
        <v/>
      </c>
      <c r="AO170" s="40" t="str">
        <f t="shared" si="670"/>
        <v/>
      </c>
      <c r="AP170" s="40" t="str">
        <f t="shared" ref="AP170:AP174" si="683">IFERROR(STDEV(AI170:AN170), "")</f>
        <v/>
      </c>
      <c r="AQ170" s="15"/>
      <c r="AR170" s="15"/>
    </row>
    <row r="171" spans="3:44">
      <c r="C171" s="232"/>
      <c r="D171" s="21" t="s">
        <v>20</v>
      </c>
      <c r="E171" s="22">
        <f>Data!H115</f>
        <v>0</v>
      </c>
      <c r="F171" s="22">
        <f>Data!I115</f>
        <v>0</v>
      </c>
      <c r="G171" s="22">
        <f>Data!J115</f>
        <v>0</v>
      </c>
      <c r="H171" s="22">
        <f>Data!K115</f>
        <v>0</v>
      </c>
      <c r="I171" s="22">
        <f>Data!L115</f>
        <v>0</v>
      </c>
      <c r="J171" s="22">
        <f>Data!M115</f>
        <v>0</v>
      </c>
      <c r="K171" s="22"/>
      <c r="L171" s="232"/>
      <c r="M171" s="130" t="s">
        <v>20</v>
      </c>
      <c r="N171" s="15" t="str">
        <f t="shared" si="656"/>
        <v xml:space="preserve"> </v>
      </c>
      <c r="O171" s="15" t="str">
        <f t="shared" si="656"/>
        <v xml:space="preserve"> </v>
      </c>
      <c r="P171" s="15" t="str">
        <f t="shared" si="656"/>
        <v xml:space="preserve"> </v>
      </c>
      <c r="Q171" s="15" t="str">
        <f t="shared" si="656"/>
        <v xml:space="preserve"> </v>
      </c>
      <c r="R171" s="15" t="str">
        <f t="shared" si="656"/>
        <v xml:space="preserve"> </v>
      </c>
      <c r="S171" s="15" t="str">
        <f t="shared" si="656"/>
        <v xml:space="preserve"> </v>
      </c>
      <c r="T171" s="20" t="str">
        <f t="shared" si="551"/>
        <v/>
      </c>
      <c r="U171" s="40" t="str">
        <f t="shared" si="552"/>
        <v/>
      </c>
      <c r="V171" s="109"/>
      <c r="W171" s="110">
        <v>40</v>
      </c>
      <c r="X171" s="20" t="str">
        <f>IFERROR(($N$27-N171)/W171,"")</f>
        <v/>
      </c>
      <c r="Y171" s="15" t="str">
        <f>IFERROR(($O$27-O171)/W171,"")</f>
        <v/>
      </c>
      <c r="Z171" s="15" t="str">
        <f>IFERROR(($P$27-P171)/W171,"")</f>
        <v/>
      </c>
      <c r="AA171" s="15" t="str">
        <f>IFERROR(($Q$18-Q171)/W171,"")</f>
        <v/>
      </c>
      <c r="AB171" s="15" t="str">
        <f>IFERROR(($R$27-R171)/W171,"")</f>
        <v/>
      </c>
      <c r="AC171" s="15" t="str">
        <f>IFERROR(($S$27-S171)/W171,"")</f>
        <v/>
      </c>
      <c r="AD171" s="20" t="str">
        <f t="shared" si="676"/>
        <v/>
      </c>
      <c r="AE171" s="40" t="str">
        <f t="shared" si="677"/>
        <v/>
      </c>
      <c r="AG171" s="229"/>
      <c r="AH171" s="77">
        <f>'Sample ID'!$F$18</f>
        <v>0</v>
      </c>
      <c r="AI171" s="77" t="str">
        <f>IFERROR((X171*$AH$45),"")</f>
        <v/>
      </c>
      <c r="AJ171" s="77" t="str">
        <f t="shared" ref="AJ171" si="684">IFERROR((Y171*$AH$45),"")</f>
        <v/>
      </c>
      <c r="AK171" s="77" t="str">
        <f t="shared" ref="AK171" si="685">IFERROR((Z171*$AH$45),"")</f>
        <v/>
      </c>
      <c r="AL171" s="77" t="str">
        <f t="shared" ref="AL171" si="686">IFERROR((AA171*$AH$45),"")</f>
        <v/>
      </c>
      <c r="AM171" s="77" t="str">
        <f t="shared" ref="AM171" si="687">IFERROR((AB171*$AH$45),"")</f>
        <v/>
      </c>
      <c r="AN171" s="77" t="str">
        <f t="shared" ref="AN171" si="688">IFERROR((AC171*$AH$45),"")</f>
        <v/>
      </c>
      <c r="AO171" s="40" t="str">
        <f t="shared" si="670"/>
        <v/>
      </c>
      <c r="AP171" s="40" t="str">
        <f t="shared" si="683"/>
        <v/>
      </c>
      <c r="AQ171" s="15"/>
      <c r="AR171" s="15"/>
    </row>
    <row r="172" spans="3:44">
      <c r="C172" s="232"/>
      <c r="D172" s="21" t="s">
        <v>21</v>
      </c>
      <c r="E172" s="22">
        <f>Data!H116</f>
        <v>0</v>
      </c>
      <c r="F172" s="22">
        <f>Data!I116</f>
        <v>0</v>
      </c>
      <c r="G172" s="22">
        <f>Data!J116</f>
        <v>0</v>
      </c>
      <c r="H172" s="22">
        <f>Data!K116</f>
        <v>0</v>
      </c>
      <c r="I172" s="22">
        <f>Data!L116</f>
        <v>0</v>
      </c>
      <c r="J172" s="22">
        <f>Data!M116</f>
        <v>0</v>
      </c>
      <c r="K172" s="22"/>
      <c r="L172" s="232"/>
      <c r="M172" s="130" t="s">
        <v>21</v>
      </c>
      <c r="N172" s="15" t="str">
        <f t="shared" si="656"/>
        <v xml:space="preserve"> </v>
      </c>
      <c r="O172" s="15" t="str">
        <f t="shared" si="656"/>
        <v xml:space="preserve"> </v>
      </c>
      <c r="P172" s="15" t="str">
        <f t="shared" si="656"/>
        <v xml:space="preserve"> </v>
      </c>
      <c r="Q172" s="15" t="str">
        <f t="shared" si="656"/>
        <v xml:space="preserve"> </v>
      </c>
      <c r="R172" s="15" t="str">
        <f t="shared" si="656"/>
        <v xml:space="preserve"> </v>
      </c>
      <c r="S172" s="15" t="str">
        <f t="shared" si="656"/>
        <v xml:space="preserve"> </v>
      </c>
      <c r="T172" s="20" t="str">
        <f t="shared" si="551"/>
        <v/>
      </c>
      <c r="U172" s="40" t="str">
        <f t="shared" si="552"/>
        <v/>
      </c>
      <c r="V172" s="109"/>
      <c r="W172" s="110">
        <v>40</v>
      </c>
      <c r="X172" s="20" t="str">
        <f>IFERROR(($N$28-N172)/W172,"")</f>
        <v/>
      </c>
      <c r="Y172" s="15" t="str">
        <f>IFERROR(($O$28-O172)/W172,"")</f>
        <v/>
      </c>
      <c r="Z172" s="15" t="str">
        <f>IFERROR(($P$28-P172)/W172,"")</f>
        <v/>
      </c>
      <c r="AA172" s="15" t="str">
        <f>IFERROR(($Q$19-Q172)/W172,"")</f>
        <v/>
      </c>
      <c r="AB172" s="15" t="str">
        <f>IFERROR(($R$28-R172)/W172,"")</f>
        <v/>
      </c>
      <c r="AC172" s="15" t="str">
        <f>IFERROR(($S$28-S172)/W172,"")</f>
        <v/>
      </c>
      <c r="AD172" s="20" t="str">
        <f t="shared" si="676"/>
        <v/>
      </c>
      <c r="AE172" s="40" t="str">
        <f t="shared" si="677"/>
        <v/>
      </c>
      <c r="AG172" s="229"/>
      <c r="AH172" s="77">
        <f>'Sample ID'!$F$19</f>
        <v>0</v>
      </c>
      <c r="AI172" s="77" t="str">
        <f>IFERROR((X172*$AH$46),"")</f>
        <v/>
      </c>
      <c r="AJ172" s="77" t="str">
        <f t="shared" ref="AJ172" si="689">IFERROR((Y172*$AH$46),"")</f>
        <v/>
      </c>
      <c r="AK172" s="77" t="str">
        <f t="shared" ref="AK172" si="690">IFERROR((Z172*$AH$46),"")</f>
        <v/>
      </c>
      <c r="AL172" s="77" t="str">
        <f t="shared" ref="AL172" si="691">IFERROR((AA172*$AH$46),"")</f>
        <v/>
      </c>
      <c r="AM172" s="77" t="str">
        <f t="shared" ref="AM172" si="692">IFERROR((AB172*$AH$46),"")</f>
        <v/>
      </c>
      <c r="AN172" s="77" t="str">
        <f t="shared" ref="AN172" si="693">IFERROR((AC172*$AH$46),"")</f>
        <v/>
      </c>
      <c r="AO172" s="40" t="str">
        <f t="shared" si="670"/>
        <v/>
      </c>
      <c r="AP172" s="40" t="str">
        <f t="shared" si="683"/>
        <v/>
      </c>
      <c r="AQ172" s="15"/>
      <c r="AR172" s="15"/>
    </row>
    <row r="173" spans="3:44">
      <c r="C173" s="232"/>
      <c r="D173" s="21" t="s">
        <v>22</v>
      </c>
      <c r="E173" s="22">
        <f>Data!H117</f>
        <v>0</v>
      </c>
      <c r="F173" s="22">
        <f>Data!I117</f>
        <v>0</v>
      </c>
      <c r="G173" s="22">
        <f>Data!J117</f>
        <v>0</v>
      </c>
      <c r="H173" s="22">
        <f>Data!K117</f>
        <v>0</v>
      </c>
      <c r="I173" s="22">
        <f>Data!L117</f>
        <v>0</v>
      </c>
      <c r="J173" s="22">
        <f>Data!M117</f>
        <v>0</v>
      </c>
      <c r="K173" s="22"/>
      <c r="L173" s="232"/>
      <c r="M173" s="130" t="s">
        <v>22</v>
      </c>
      <c r="N173" s="15" t="str">
        <f t="shared" si="656"/>
        <v xml:space="preserve"> </v>
      </c>
      <c r="O173" s="15" t="str">
        <f t="shared" si="656"/>
        <v xml:space="preserve"> </v>
      </c>
      <c r="P173" s="15" t="str">
        <f t="shared" si="656"/>
        <v xml:space="preserve"> </v>
      </c>
      <c r="Q173" s="15" t="str">
        <f t="shared" si="656"/>
        <v xml:space="preserve"> </v>
      </c>
      <c r="R173" s="15" t="str">
        <f t="shared" si="656"/>
        <v xml:space="preserve"> </v>
      </c>
      <c r="S173" s="15" t="str">
        <f t="shared" si="656"/>
        <v xml:space="preserve"> </v>
      </c>
      <c r="T173" s="20" t="str">
        <f t="shared" si="551"/>
        <v/>
      </c>
      <c r="U173" s="40" t="str">
        <f t="shared" si="552"/>
        <v/>
      </c>
      <c r="V173" s="109"/>
      <c r="W173" s="110">
        <v>40</v>
      </c>
      <c r="X173" s="20" t="str">
        <f>IFERROR(($N$29-N173)/W173,"")</f>
        <v/>
      </c>
      <c r="Y173" s="15" t="str">
        <f>IFERROR(($O$29-O173)/W173,"")</f>
        <v/>
      </c>
      <c r="Z173" s="15" t="str">
        <f>IFERROR(($P$29-P173)/W173,"")</f>
        <v/>
      </c>
      <c r="AA173" s="15" t="str">
        <f>IFERROR(($Q$20-Q173)/W173,"")</f>
        <v/>
      </c>
      <c r="AB173" s="15" t="str">
        <f>IFERROR(($R$29-R173)/W173,"")</f>
        <v/>
      </c>
      <c r="AC173" s="15" t="str">
        <f>IFERROR(($S$29-S173)/W173,"")</f>
        <v/>
      </c>
      <c r="AD173" s="20" t="str">
        <f t="shared" si="676"/>
        <v/>
      </c>
      <c r="AE173" s="40" t="str">
        <f t="shared" si="677"/>
        <v/>
      </c>
      <c r="AG173" s="229"/>
      <c r="AH173" s="77">
        <f>'Sample ID'!$F$20</f>
        <v>0</v>
      </c>
      <c r="AI173" s="77" t="str">
        <f>IFERROR((X173*$AH$47),"")</f>
        <v/>
      </c>
      <c r="AJ173" s="77" t="str">
        <f t="shared" ref="AJ173" si="694">IFERROR((Y173*$AH$47),"")</f>
        <v/>
      </c>
      <c r="AK173" s="77" t="str">
        <f t="shared" ref="AK173" si="695">IFERROR((Z173*$AH$47),"")</f>
        <v/>
      </c>
      <c r="AL173" s="77" t="str">
        <f t="shared" ref="AL173" si="696">IFERROR((AA173*$AH$47),"")</f>
        <v/>
      </c>
      <c r="AM173" s="77" t="str">
        <f t="shared" ref="AM173" si="697">IFERROR((AB173*$AH$47),"")</f>
        <v/>
      </c>
      <c r="AN173" s="77" t="str">
        <f t="shared" ref="AN173" si="698">IFERROR((AC173*$AH$47),"")</f>
        <v/>
      </c>
      <c r="AO173" s="40" t="str">
        <f t="shared" si="670"/>
        <v/>
      </c>
      <c r="AP173" s="40" t="str">
        <f t="shared" si="683"/>
        <v/>
      </c>
      <c r="AQ173" s="15"/>
      <c r="AR173" s="15"/>
    </row>
    <row r="174" spans="3:44">
      <c r="C174" s="232"/>
      <c r="D174" s="21" t="s">
        <v>23</v>
      </c>
      <c r="E174" s="22">
        <f>Data!H118</f>
        <v>0</v>
      </c>
      <c r="F174" s="22">
        <f>Data!I118</f>
        <v>0</v>
      </c>
      <c r="G174" s="22">
        <f>Data!J118</f>
        <v>0</v>
      </c>
      <c r="H174" s="22">
        <f>Data!K118</f>
        <v>0</v>
      </c>
      <c r="I174" s="22">
        <f>Data!L118</f>
        <v>0</v>
      </c>
      <c r="J174" s="22">
        <f>Data!M118</f>
        <v>0</v>
      </c>
      <c r="K174" s="22"/>
      <c r="L174" s="232"/>
      <c r="M174" s="130" t="s">
        <v>23</v>
      </c>
      <c r="N174" s="15" t="str">
        <f t="shared" si="656"/>
        <v xml:space="preserve"> </v>
      </c>
      <c r="O174" s="15" t="str">
        <f t="shared" si="656"/>
        <v xml:space="preserve"> </v>
      </c>
      <c r="P174" s="15" t="str">
        <f t="shared" si="656"/>
        <v xml:space="preserve"> </v>
      </c>
      <c r="Q174" s="15" t="str">
        <f t="shared" si="656"/>
        <v xml:space="preserve"> </v>
      </c>
      <c r="R174" s="15" t="str">
        <f t="shared" si="656"/>
        <v xml:space="preserve"> </v>
      </c>
      <c r="S174" s="15" t="str">
        <f t="shared" si="656"/>
        <v xml:space="preserve"> </v>
      </c>
      <c r="T174" s="20" t="str">
        <f t="shared" si="551"/>
        <v/>
      </c>
      <c r="U174" s="40" t="str">
        <f t="shared" si="552"/>
        <v/>
      </c>
      <c r="V174" s="109"/>
      <c r="W174" s="110">
        <v>40</v>
      </c>
      <c r="X174" s="20" t="str">
        <f>IFERROR(($N$30-N174)/W174,"")</f>
        <v/>
      </c>
      <c r="Y174" s="15" t="str">
        <f>IFERROR(($O$30-O174)/W174,"")</f>
        <v/>
      </c>
      <c r="Z174" s="15" t="str">
        <f>IFERROR(($P$30-P174)/W174,"")</f>
        <v/>
      </c>
      <c r="AA174" s="15" t="str">
        <f>IFERROR(($Q$21-Q174)/W174,"")</f>
        <v/>
      </c>
      <c r="AB174" s="17" t="str">
        <f>IFERROR(($R$30-R174)/W174,"")</f>
        <v/>
      </c>
      <c r="AC174" s="15" t="str">
        <f>IFERROR(($S$30-S174)/W174,"")</f>
        <v/>
      </c>
      <c r="AD174" s="20" t="str">
        <f>IFERROR(AVERAGE(X174:AC174), "")</f>
        <v/>
      </c>
      <c r="AE174" s="40" t="str">
        <f t="shared" si="677"/>
        <v/>
      </c>
      <c r="AG174" s="230"/>
      <c r="AH174" s="77">
        <f>'Sample ID'!$F$21</f>
        <v>0</v>
      </c>
      <c r="AI174" s="77" t="str">
        <f>IFERROR((X174*$AH$48),"")</f>
        <v/>
      </c>
      <c r="AJ174" s="77" t="str">
        <f t="shared" ref="AJ174" si="699">IFERROR((Y174*$AH$48),"")</f>
        <v/>
      </c>
      <c r="AK174" s="77" t="str">
        <f t="shared" ref="AK174" si="700">IFERROR((Z174*$AH$48),"")</f>
        <v/>
      </c>
      <c r="AL174" s="77" t="str">
        <f t="shared" ref="AL174" si="701">IFERROR((AA174*$AH$48),"")</f>
        <v/>
      </c>
      <c r="AM174" s="77" t="str">
        <f t="shared" ref="AM174" si="702">IFERROR((AB174*$AH$48),"")</f>
        <v/>
      </c>
      <c r="AN174" s="77" t="str">
        <f t="shared" ref="AN174" si="703">IFERROR((AC174*$AH$48),"")</f>
        <v/>
      </c>
      <c r="AO174" s="40" t="str">
        <f t="shared" si="670"/>
        <v/>
      </c>
      <c r="AP174" s="40" t="str">
        <f t="shared" si="683"/>
        <v/>
      </c>
      <c r="AQ174" s="15"/>
      <c r="AR174" s="15"/>
    </row>
    <row r="175" spans="3:44">
      <c r="C175" s="232">
        <v>45</v>
      </c>
      <c r="D175" s="50"/>
      <c r="E175" s="58">
        <v>1</v>
      </c>
      <c r="F175" s="58">
        <v>2</v>
      </c>
      <c r="G175" s="59">
        <v>3</v>
      </c>
      <c r="H175" s="56">
        <v>4</v>
      </c>
      <c r="I175" s="56">
        <v>5</v>
      </c>
      <c r="J175" s="57">
        <v>6</v>
      </c>
      <c r="K175" s="27"/>
      <c r="L175" s="232">
        <v>45</v>
      </c>
      <c r="M175" s="38"/>
      <c r="N175" s="59">
        <v>1</v>
      </c>
      <c r="O175" s="38">
        <v>2</v>
      </c>
      <c r="P175" s="38">
        <v>3</v>
      </c>
      <c r="Q175" s="38">
        <v>4</v>
      </c>
      <c r="R175" s="38">
        <v>5</v>
      </c>
      <c r="S175" s="50">
        <v>6</v>
      </c>
      <c r="T175" s="38" t="s">
        <v>24</v>
      </c>
      <c r="U175" s="51" t="s">
        <v>3</v>
      </c>
      <c r="V175" s="109"/>
      <c r="W175" s="38" t="s">
        <v>34</v>
      </c>
      <c r="X175" s="38">
        <v>1</v>
      </c>
      <c r="Y175" s="38">
        <v>2</v>
      </c>
      <c r="Z175" s="38">
        <v>3</v>
      </c>
      <c r="AA175" s="38">
        <v>4</v>
      </c>
      <c r="AB175" s="38">
        <v>5</v>
      </c>
      <c r="AC175" s="50">
        <v>6</v>
      </c>
      <c r="AD175" s="50" t="s">
        <v>49</v>
      </c>
      <c r="AE175" s="51" t="s">
        <v>3</v>
      </c>
      <c r="AF175" s="69"/>
      <c r="AG175" s="231">
        <v>45</v>
      </c>
      <c r="AH175" s="38" t="s">
        <v>35</v>
      </c>
      <c r="AI175" s="38"/>
      <c r="AJ175" s="38"/>
      <c r="AK175" s="38"/>
      <c r="AL175" s="38"/>
      <c r="AM175" s="38"/>
      <c r="AN175" s="38"/>
      <c r="AO175" s="52" t="s">
        <v>36</v>
      </c>
      <c r="AP175" s="51" t="s">
        <v>3</v>
      </c>
      <c r="AQ175" s="15"/>
      <c r="AR175" s="15"/>
    </row>
    <row r="176" spans="3:44">
      <c r="C176" s="232"/>
      <c r="D176" s="21" t="s">
        <v>16</v>
      </c>
      <c r="E176" s="22">
        <f>Data!B123</f>
        <v>1.9339999999999999</v>
      </c>
      <c r="F176" s="22">
        <f>Data!C123</f>
        <v>1.911</v>
      </c>
      <c r="G176" s="22">
        <f>Data!D123</f>
        <v>1.948</v>
      </c>
      <c r="H176" s="22">
        <f>Data!E123</f>
        <v>1.9339999999999999</v>
      </c>
      <c r="I176" s="22">
        <f>Data!F123</f>
        <v>1.911</v>
      </c>
      <c r="J176" s="22">
        <f>Data!G123</f>
        <v>1.948</v>
      </c>
      <c r="K176" s="22"/>
      <c r="L176" s="232"/>
      <c r="M176" s="130" t="s">
        <v>16</v>
      </c>
      <c r="N176" s="15">
        <f t="shared" ref="N176:S183" si="704">IF(((E176-$P$11)/$P$10)&gt;0,((E176-$P$11)/$P$10)," ")</f>
        <v>1.6953409682457057</v>
      </c>
      <c r="O176" s="15">
        <f t="shared" si="704"/>
        <v>1.6728917230609062</v>
      </c>
      <c r="P176" s="15">
        <f t="shared" si="704"/>
        <v>1.7090057261842793</v>
      </c>
      <c r="Q176" s="15">
        <f t="shared" si="704"/>
        <v>1.6953409682457057</v>
      </c>
      <c r="R176" s="15">
        <f t="shared" si="704"/>
        <v>1.6728917230609062</v>
      </c>
      <c r="S176" s="15">
        <f t="shared" si="704"/>
        <v>1.7090057261842793</v>
      </c>
      <c r="T176" s="20">
        <f t="shared" ref="T176:T210" si="705">IFERROR(AVERAGE(N176:S176),"")</f>
        <v>1.692412805830297</v>
      </c>
      <c r="U176" s="40">
        <f t="shared" ref="U176:U210" si="706">IFERROR(STDEV(N176:S176),"")</f>
        <v>1.630916078152421E-2</v>
      </c>
      <c r="V176" s="109"/>
      <c r="W176" s="110">
        <v>45</v>
      </c>
      <c r="X176" s="20">
        <f>IFERROR(($N$14-N176)/W176,"")</f>
        <v>8.0253340274162924E-4</v>
      </c>
      <c r="Y176" s="15">
        <f>IFERROR(($O$14-O176)/W176,"")</f>
        <v>1.2797154259934058E-3</v>
      </c>
      <c r="Z176" s="15">
        <f>IFERROR(($P$14-P176)/W176,"")</f>
        <v>1.1061946902654915E-3</v>
      </c>
      <c r="AA176" s="15">
        <f>IFERROR(($Q$14-Q176)/W176,"")</f>
        <v>8.0253340274162924E-4</v>
      </c>
      <c r="AB176" s="15">
        <f>IFERROR(($R$14-R176)/W176,"")</f>
        <v>1.2797154259934058E-3</v>
      </c>
      <c r="AC176" s="15">
        <f>IFERROR(($S$14-S176)/W176,"")</f>
        <v>1.1061946902654915E-3</v>
      </c>
      <c r="AD176" s="20">
        <f>IFERROR(AVERAGE(X176:AC176), "")</f>
        <v>1.0628145063335088E-3</v>
      </c>
      <c r="AE176" s="40">
        <f>IFERROR(STDEV(X176:AC176), "")</f>
        <v>2.1603157379817281E-4</v>
      </c>
      <c r="AG176" s="229"/>
      <c r="AH176" s="76">
        <f>'Sample ID'!$F$6</f>
        <v>1</v>
      </c>
      <c r="AI176" s="77">
        <f>IFERROR((X176*$AH$32),"")</f>
        <v>8.0253340274162924E-4</v>
      </c>
      <c r="AJ176" s="77">
        <f t="shared" ref="AJ176" si="707">IFERROR((Y176*$AH$32),"")</f>
        <v>1.2797154259934058E-3</v>
      </c>
      <c r="AK176" s="77">
        <f t="shared" ref="AK176" si="708">IFERROR((Z176*$AH$32),"")</f>
        <v>1.1061946902654915E-3</v>
      </c>
      <c r="AL176" s="77">
        <f t="shared" ref="AL176" si="709">IFERROR((AA176*$AH$32),"")</f>
        <v>8.0253340274162924E-4</v>
      </c>
      <c r="AM176" s="77">
        <f t="shared" ref="AM176" si="710">IFERROR((AB176*$AH$32),"")</f>
        <v>1.2797154259934058E-3</v>
      </c>
      <c r="AN176" s="77">
        <f t="shared" ref="AN176" si="711">IFERROR((AC176*$AH$32),"")</f>
        <v>1.1061946902654915E-3</v>
      </c>
      <c r="AO176" s="40">
        <f>IFERROR(AVERAGE(AI176:AN176),"")</f>
        <v>1.0628145063335088E-3</v>
      </c>
      <c r="AP176" s="40">
        <f>IFERROR(STDEV(AI176:AN176), "")</f>
        <v>2.1603157379817281E-4</v>
      </c>
      <c r="AQ176" s="15"/>
      <c r="AR176" s="15"/>
    </row>
    <row r="177" spans="3:44">
      <c r="C177" s="232"/>
      <c r="D177" s="21" t="s">
        <v>17</v>
      </c>
      <c r="E177" s="22">
        <f>Data!B124</f>
        <v>2.012</v>
      </c>
      <c r="F177" s="22">
        <f>Data!C124</f>
        <v>2.016</v>
      </c>
      <c r="G177" s="22">
        <f>Data!D124</f>
        <v>2.0459999999999998</v>
      </c>
      <c r="H177" s="22">
        <f>Data!E124</f>
        <v>2.012</v>
      </c>
      <c r="I177" s="22">
        <f>Data!F124</f>
        <v>2.016</v>
      </c>
      <c r="J177" s="22">
        <f>Data!G124</f>
        <v>2.0459999999999998</v>
      </c>
      <c r="K177" s="22"/>
      <c r="L177" s="232"/>
      <c r="M177" s="130" t="s">
        <v>17</v>
      </c>
      <c r="N177" s="15">
        <f t="shared" si="704"/>
        <v>1.7714731910463304</v>
      </c>
      <c r="O177" s="15">
        <f t="shared" si="704"/>
        <v>1.7753774076002087</v>
      </c>
      <c r="P177" s="15">
        <f t="shared" si="704"/>
        <v>1.8046590317542948</v>
      </c>
      <c r="Q177" s="15">
        <f t="shared" si="704"/>
        <v>1.7714731910463304</v>
      </c>
      <c r="R177" s="15">
        <f t="shared" si="704"/>
        <v>1.7753774076002087</v>
      </c>
      <c r="S177" s="15">
        <f t="shared" si="704"/>
        <v>1.8046590317542948</v>
      </c>
      <c r="T177" s="20">
        <f t="shared" si="705"/>
        <v>1.7838365434669445</v>
      </c>
      <c r="U177" s="40">
        <f t="shared" si="706"/>
        <v>1.6223260845650483E-2</v>
      </c>
      <c r="V177" s="109"/>
      <c r="W177" s="110">
        <v>45</v>
      </c>
      <c r="X177" s="20">
        <f>IFERROR(($N$15-N177)/W177,"")</f>
        <v>-1.0628145063335055E-3</v>
      </c>
      <c r="Y177" s="15">
        <f>IFERROR(($O$15-O177)/W177,"")</f>
        <v>-1.2146451500954392E-3</v>
      </c>
      <c r="Z177" s="15">
        <f>IFERROR(($P$15-P177)/W177,"")</f>
        <v>-1.6050668054832487E-3</v>
      </c>
      <c r="AA177" s="15">
        <f>IFERROR(($Q$15-Q177)/W177,"")</f>
        <v>-1.0628145063335055E-3</v>
      </c>
      <c r="AB177" s="15">
        <f>IFERROR(($R$15-R177)/W177,"")</f>
        <v>-1.2146451500954392E-3</v>
      </c>
      <c r="AC177" s="15">
        <f>IFERROR(($S$15-S177)/W177,"")</f>
        <v>-1.6050668054832487E-3</v>
      </c>
      <c r="AD177" s="20">
        <f>IFERROR(AVERAGE(X177:AC177), "")</f>
        <v>-1.2941754873040643E-3</v>
      </c>
      <c r="AE177" s="40">
        <f>IFERROR(STDEV(X177:AC177), "")</f>
        <v>2.5020502774434229E-4</v>
      </c>
      <c r="AG177" s="229"/>
      <c r="AH177" s="77">
        <f>'Sample ID'!$F$7</f>
        <v>1</v>
      </c>
      <c r="AI177" s="77">
        <f>IFERROR((X177*$AH$33),"")</f>
        <v>-1.0628145063335055E-3</v>
      </c>
      <c r="AJ177" s="77">
        <f t="shared" ref="AJ177" si="712">IFERROR((Y177*$AH$33),"")</f>
        <v>-1.2146451500954392E-3</v>
      </c>
      <c r="AK177" s="77">
        <f t="shared" ref="AK177" si="713">IFERROR((Z177*$AH$33),"")</f>
        <v>-1.6050668054832487E-3</v>
      </c>
      <c r="AL177" s="77">
        <f t="shared" ref="AL177" si="714">IFERROR((AA177*$AH$33),"")</f>
        <v>-1.0628145063335055E-3</v>
      </c>
      <c r="AM177" s="77">
        <f t="shared" ref="AM177" si="715">IFERROR((AB177*$AH$33),"")</f>
        <v>-1.2146451500954392E-3</v>
      </c>
      <c r="AN177" s="77">
        <f t="shared" ref="AN177" si="716">IFERROR((AC177*$AH$33),"")</f>
        <v>-1.6050668054832487E-3</v>
      </c>
      <c r="AO177" s="40">
        <f t="shared" ref="AO177:AO183" si="717">IFERROR(AVERAGE(AI177:AN177),"")</f>
        <v>-1.2941754873040643E-3</v>
      </c>
      <c r="AP177" s="40">
        <f>IFERROR(STDEV(AI177:AN177), "")</f>
        <v>2.5020502774434229E-4</v>
      </c>
      <c r="AQ177" s="15"/>
      <c r="AR177" s="15"/>
    </row>
    <row r="178" spans="3:44">
      <c r="C178" s="232"/>
      <c r="D178" s="21" t="s">
        <v>18</v>
      </c>
      <c r="E178" s="22">
        <f>Data!B125</f>
        <v>1.9850000000000001</v>
      </c>
      <c r="F178" s="22">
        <f>Data!C125</f>
        <v>2.0070000000000001</v>
      </c>
      <c r="G178" s="22">
        <f>Data!D125</f>
        <v>2.0059999999999998</v>
      </c>
      <c r="H178" s="22">
        <f>Data!E125</f>
        <v>1.9850000000000001</v>
      </c>
      <c r="I178" s="22">
        <f>Data!F125</f>
        <v>2.0070000000000001</v>
      </c>
      <c r="J178" s="22">
        <f>Data!G125</f>
        <v>2.0059999999999998</v>
      </c>
      <c r="K178" s="22"/>
      <c r="L178" s="232"/>
      <c r="M178" s="130" t="s">
        <v>18</v>
      </c>
      <c r="N178" s="15">
        <f t="shared" si="704"/>
        <v>1.7451197293076528</v>
      </c>
      <c r="O178" s="15">
        <f t="shared" si="704"/>
        <v>1.7665929203539827</v>
      </c>
      <c r="P178" s="15">
        <f t="shared" si="704"/>
        <v>1.7656168662155129</v>
      </c>
      <c r="Q178" s="15">
        <f t="shared" si="704"/>
        <v>1.7451197293076528</v>
      </c>
      <c r="R178" s="15">
        <f t="shared" si="704"/>
        <v>1.7665929203539827</v>
      </c>
      <c r="S178" s="15">
        <f t="shared" si="704"/>
        <v>1.7656168662155129</v>
      </c>
      <c r="T178" s="20">
        <f t="shared" si="705"/>
        <v>1.7591098386257162</v>
      </c>
      <c r="U178" s="40">
        <f t="shared" si="706"/>
        <v>1.084547977615849E-2</v>
      </c>
      <c r="V178" s="109"/>
      <c r="W178" s="110">
        <v>45</v>
      </c>
      <c r="X178" s="20">
        <f>IFERROR(($N$16-N178)/W178,"")</f>
        <v>-1.3014055179594308E-4</v>
      </c>
      <c r="Y178" s="15">
        <f>IFERROR(($O$16-O178)/W178,"")</f>
        <v>-1.5183064376192865E-4</v>
      </c>
      <c r="Z178" s="15">
        <f>IFERROR(($P$16-P178)/W178,"")</f>
        <v>4.5549193128579586E-4</v>
      </c>
      <c r="AA178" s="15">
        <f>IFERROR(($Q$16-Q178)/W178,"")</f>
        <v>-1.3014055179594308E-4</v>
      </c>
      <c r="AB178" s="15">
        <f>IFERROR(($R$16-R178)/W178,"")</f>
        <v>-1.5183064376192865E-4</v>
      </c>
      <c r="AC178" s="15">
        <f>IFERROR(($S$16-S178)/W178,"")</f>
        <v>4.5549193128579586E-4</v>
      </c>
      <c r="AD178" s="20">
        <f>IFERROR(AVERAGE(X178:AC178), "")</f>
        <v>5.7840245242641362E-5</v>
      </c>
      <c r="AE178" s="40">
        <f t="shared" ref="AE178:AE183" si="718">IFERROR(STDEV(X178:AC178), "")</f>
        <v>3.0817237070457289E-4</v>
      </c>
      <c r="AG178" s="229"/>
      <c r="AH178" s="77">
        <f>'Sample ID'!$F$8</f>
        <v>1</v>
      </c>
      <c r="AI178" s="77">
        <f>IFERROR((X178*$AH$34),"")</f>
        <v>-1.3014055179594308E-4</v>
      </c>
      <c r="AJ178" s="77">
        <f t="shared" ref="AJ178" si="719">IFERROR((Y178*$AH$34),"")</f>
        <v>-1.5183064376192865E-4</v>
      </c>
      <c r="AK178" s="77">
        <f t="shared" ref="AK178" si="720">IFERROR((Z178*$AH$34),"")</f>
        <v>4.5549193128579586E-4</v>
      </c>
      <c r="AL178" s="77">
        <f t="shared" ref="AL178" si="721">IFERROR((AA178*$AH$34),"")</f>
        <v>-1.3014055179594308E-4</v>
      </c>
      <c r="AM178" s="77">
        <f t="shared" ref="AM178" si="722">IFERROR((AB178*$AH$34),"")</f>
        <v>-1.5183064376192865E-4</v>
      </c>
      <c r="AN178" s="77">
        <f t="shared" ref="AN178" si="723">IFERROR((AC178*$AH$34),"")</f>
        <v>4.5549193128579586E-4</v>
      </c>
      <c r="AO178" s="40">
        <f t="shared" si="717"/>
        <v>5.7840245242641362E-5</v>
      </c>
      <c r="AP178" s="40">
        <f t="shared" ref="AP178:AP183" si="724">IFERROR(STDEV(AI178:AN178), "")</f>
        <v>3.0817237070457289E-4</v>
      </c>
      <c r="AQ178" s="15"/>
      <c r="AR178" s="15"/>
    </row>
    <row r="179" spans="3:44">
      <c r="C179" s="232"/>
      <c r="D179" s="21" t="s">
        <v>19</v>
      </c>
      <c r="E179" s="22">
        <f>Data!B126</f>
        <v>2.266</v>
      </c>
      <c r="F179" s="22">
        <f>Data!C126</f>
        <v>2.2690000000000001</v>
      </c>
      <c r="G179" s="22">
        <f>Data!D126</f>
        <v>2.2679999999999998</v>
      </c>
      <c r="H179" s="22">
        <f>Data!E126</f>
        <v>2.266</v>
      </c>
      <c r="I179" s="22">
        <f>Data!F126</f>
        <v>2.2690000000000001</v>
      </c>
      <c r="J179" s="22">
        <f>Data!G126</f>
        <v>2.2679999999999998</v>
      </c>
      <c r="K179" s="22"/>
      <c r="L179" s="232"/>
      <c r="M179" s="130" t="s">
        <v>19</v>
      </c>
      <c r="N179" s="15">
        <f t="shared" si="704"/>
        <v>2.0193909422175955</v>
      </c>
      <c r="O179" s="15">
        <f t="shared" si="704"/>
        <v>2.022319104633004</v>
      </c>
      <c r="P179" s="15">
        <f t="shared" si="704"/>
        <v>2.0213430504945342</v>
      </c>
      <c r="Q179" s="15">
        <f t="shared" si="704"/>
        <v>2.0193909422175955</v>
      </c>
      <c r="R179" s="15">
        <f t="shared" si="704"/>
        <v>2.022319104633004</v>
      </c>
      <c r="S179" s="15">
        <f t="shared" si="704"/>
        <v>2.0213430504945342</v>
      </c>
      <c r="T179" s="20">
        <f t="shared" si="705"/>
        <v>2.021017699115045</v>
      </c>
      <c r="U179" s="40">
        <f t="shared" si="706"/>
        <v>1.3335438269077137E-3</v>
      </c>
      <c r="V179" s="109"/>
      <c r="W179" s="110">
        <v>45</v>
      </c>
      <c r="X179" s="20">
        <f>IFERROR(($N$17-N179)/W179,"")</f>
        <v>-4.6850598646538321E-3</v>
      </c>
      <c r="Y179" s="15">
        <f>IFERROR(($O$17-O179)/W179,"")</f>
        <v>-4.8152004164497605E-3</v>
      </c>
      <c r="Z179" s="15">
        <f>IFERROR(($P$17-P179)/W179,"")</f>
        <v>-4.6199895887558459E-3</v>
      </c>
      <c r="AA179" s="15">
        <f>IFERROR(($Q$17-Q179)/W179,"")</f>
        <v>-4.6850598646538321E-3</v>
      </c>
      <c r="AB179" s="15">
        <f>IFERROR(($R$17-R179)/W179,"")</f>
        <v>-4.8152004164497605E-3</v>
      </c>
      <c r="AC179" s="15">
        <f>IFERROR(($S$17-S179)/W179,"")</f>
        <v>-4.6199895887558459E-3</v>
      </c>
      <c r="AD179" s="20">
        <f t="shared" ref="AD179:AD183" si="725">IFERROR(AVERAGE(X179:AC179), "")</f>
        <v>-4.7067499566198134E-3</v>
      </c>
      <c r="AE179" s="40">
        <f t="shared" si="718"/>
        <v>8.8902921793854812E-5</v>
      </c>
      <c r="AG179" s="229"/>
      <c r="AH179" s="77">
        <f>'Sample ID'!$F$9</f>
        <v>1</v>
      </c>
      <c r="AI179" s="77">
        <f>IFERROR((X179*$AH$35),"")</f>
        <v>-4.6850598646538321E-3</v>
      </c>
      <c r="AJ179" s="77">
        <f t="shared" ref="AJ179" si="726">IFERROR((Y179*$AH$35),"")</f>
        <v>-4.8152004164497605E-3</v>
      </c>
      <c r="AK179" s="77">
        <f t="shared" ref="AK179" si="727">IFERROR((Z179*$AH$35),"")</f>
        <v>-4.6199895887558459E-3</v>
      </c>
      <c r="AL179" s="77">
        <f t="shared" ref="AL179" si="728">IFERROR((AA179*$AH$35),"")</f>
        <v>-4.6850598646538321E-3</v>
      </c>
      <c r="AM179" s="77">
        <f t="shared" ref="AM179" si="729">IFERROR((AB179*$AH$35),"")</f>
        <v>-4.8152004164497605E-3</v>
      </c>
      <c r="AN179" s="77">
        <f t="shared" ref="AN179" si="730">IFERROR((AC179*$AH$35),"")</f>
        <v>-4.6199895887558459E-3</v>
      </c>
      <c r="AO179" s="40">
        <f t="shared" si="717"/>
        <v>-4.7067499566198134E-3</v>
      </c>
      <c r="AP179" s="40">
        <f t="shared" si="724"/>
        <v>8.8902921793854812E-5</v>
      </c>
      <c r="AQ179" s="15"/>
      <c r="AR179" s="15"/>
    </row>
    <row r="180" spans="3:44">
      <c r="C180" s="232"/>
      <c r="D180" s="21" t="s">
        <v>20</v>
      </c>
      <c r="E180" s="22">
        <f>Data!B127</f>
        <v>2.1629999999999998</v>
      </c>
      <c r="F180" s="22">
        <f>Data!C127</f>
        <v>2.1930000000000001</v>
      </c>
      <c r="G180" s="22">
        <f>Data!D127</f>
        <v>2.1909999999999998</v>
      </c>
      <c r="H180" s="22">
        <f>Data!E127</f>
        <v>2.1629999999999998</v>
      </c>
      <c r="I180" s="22">
        <f>Data!F127</f>
        <v>2.1930000000000001</v>
      </c>
      <c r="J180" s="22">
        <f>Data!G127</f>
        <v>2.1909999999999998</v>
      </c>
      <c r="K180" s="22"/>
      <c r="L180" s="232"/>
      <c r="M180" s="130" t="s">
        <v>20</v>
      </c>
      <c r="N180" s="15">
        <f t="shared" si="704"/>
        <v>1.9188573659552319</v>
      </c>
      <c r="O180" s="15">
        <f t="shared" si="704"/>
        <v>1.9481389901093185</v>
      </c>
      <c r="P180" s="15">
        <f t="shared" si="704"/>
        <v>1.9461868818323793</v>
      </c>
      <c r="Q180" s="15">
        <f t="shared" si="704"/>
        <v>1.9188573659552319</v>
      </c>
      <c r="R180" s="15">
        <f t="shared" si="704"/>
        <v>1.9481389901093185</v>
      </c>
      <c r="S180" s="15">
        <f t="shared" si="704"/>
        <v>1.9461868818323793</v>
      </c>
      <c r="T180" s="20">
        <f t="shared" si="705"/>
        <v>1.9377277459656435</v>
      </c>
      <c r="U180" s="40">
        <f t="shared" si="706"/>
        <v>1.4642980925596303E-2</v>
      </c>
      <c r="V180" s="109"/>
      <c r="W180" s="110">
        <v>45</v>
      </c>
      <c r="X180" s="20">
        <f>IFERROR(($N$18-N180)/W180,"")</f>
        <v>-1.5616866215512675E-3</v>
      </c>
      <c r="Y180" s="15">
        <f>IFERROR(($O$18-O180)/W180,"")</f>
        <v>-2.7329515877147258E-3</v>
      </c>
      <c r="Z180" s="15">
        <f>IFERROR(($P$18-P180)/W180,"")</f>
        <v>-2.212389380530973E-3</v>
      </c>
      <c r="AA180" s="15">
        <f>IFERROR(($Q$18-Q180)/W180,"")</f>
        <v>-1.5616866215512675E-3</v>
      </c>
      <c r="AB180" s="15">
        <f>IFERROR(($R$18-R180)/W180,"")</f>
        <v>-2.7329515877147258E-3</v>
      </c>
      <c r="AC180" s="15">
        <f>IFERROR(($S$18-S180)/W180,"")</f>
        <v>-2.212389380530973E-3</v>
      </c>
      <c r="AD180" s="20">
        <f t="shared" si="725"/>
        <v>-2.1690091965989888E-3</v>
      </c>
      <c r="AE180" s="40">
        <f t="shared" si="718"/>
        <v>5.2488229957502002E-4</v>
      </c>
      <c r="AG180" s="229"/>
      <c r="AH180" s="77">
        <f>'Sample ID'!$F$10</f>
        <v>1</v>
      </c>
      <c r="AI180" s="77">
        <f>IFERROR((X180*$AH$36),"")</f>
        <v>-1.5616866215512675E-3</v>
      </c>
      <c r="AJ180" s="77">
        <f t="shared" ref="AJ180" si="731">IFERROR((Y180*$AH$36),"")</f>
        <v>-2.7329515877147258E-3</v>
      </c>
      <c r="AK180" s="77">
        <f t="shared" ref="AK180" si="732">IFERROR((Z180*$AH$36),"")</f>
        <v>-2.212389380530973E-3</v>
      </c>
      <c r="AL180" s="77">
        <f t="shared" ref="AL180" si="733">IFERROR((AA180*$AH$36),"")</f>
        <v>-1.5616866215512675E-3</v>
      </c>
      <c r="AM180" s="77">
        <f t="shared" ref="AM180" si="734">IFERROR((AB180*$AH$36),"")</f>
        <v>-2.7329515877147258E-3</v>
      </c>
      <c r="AN180" s="77">
        <f t="shared" ref="AN180" si="735">IFERROR((AC180*$AH$36),"")</f>
        <v>-2.212389380530973E-3</v>
      </c>
      <c r="AO180" s="40">
        <f t="shared" si="717"/>
        <v>-2.1690091965989888E-3</v>
      </c>
      <c r="AP180" s="40">
        <f t="shared" si="724"/>
        <v>5.2488229957502002E-4</v>
      </c>
      <c r="AQ180" s="15"/>
      <c r="AR180" s="15"/>
    </row>
    <row r="181" spans="3:44">
      <c r="C181" s="232"/>
      <c r="D181" s="21" t="s">
        <v>21</v>
      </c>
      <c r="E181" s="22">
        <f>Data!B128</f>
        <v>1.369</v>
      </c>
      <c r="F181" s="22">
        <f>Data!C128</f>
        <v>1.409</v>
      </c>
      <c r="G181" s="22">
        <f>Data!D128</f>
        <v>1.3520000000000001</v>
      </c>
      <c r="H181" s="22">
        <f>Data!E128</f>
        <v>1.369</v>
      </c>
      <c r="I181" s="22">
        <f>Data!F128</f>
        <v>1.409</v>
      </c>
      <c r="J181" s="22">
        <f>Data!G128</f>
        <v>1.3520000000000001</v>
      </c>
      <c r="K181" s="22"/>
      <c r="L181" s="232"/>
      <c r="M181" s="130" t="s">
        <v>21</v>
      </c>
      <c r="N181" s="15">
        <f t="shared" si="704"/>
        <v>1.1438703800104115</v>
      </c>
      <c r="O181" s="15">
        <f t="shared" si="704"/>
        <v>1.1829125455491933</v>
      </c>
      <c r="P181" s="15">
        <f t="shared" si="704"/>
        <v>1.1272774596564292</v>
      </c>
      <c r="Q181" s="15">
        <f t="shared" si="704"/>
        <v>1.1438703800104115</v>
      </c>
      <c r="R181" s="15">
        <f t="shared" si="704"/>
        <v>1.1829125455491933</v>
      </c>
      <c r="S181" s="15">
        <f t="shared" si="704"/>
        <v>1.1272774596564292</v>
      </c>
      <c r="T181" s="20">
        <f t="shared" si="705"/>
        <v>1.151353461738678</v>
      </c>
      <c r="U181" s="40">
        <f t="shared" si="706"/>
        <v>2.5547024557670071E-2</v>
      </c>
      <c r="V181" s="109"/>
      <c r="W181" s="110">
        <v>45</v>
      </c>
      <c r="X181" s="20">
        <f>IFERROR(($N$19-N181)/W181,"")</f>
        <v>1.1452368558042689E-2</v>
      </c>
      <c r="Y181" s="15">
        <f>IFERROR(($O$19-O181)/W181,"")</f>
        <v>1.1387298282144718E-2</v>
      </c>
      <c r="Z181" s="15">
        <f>IFERROR(($P$19-P181)/W181,"")</f>
        <v>1.1777719937532538E-2</v>
      </c>
      <c r="AA181" s="15">
        <f>IFERROR(($Q$19-Q181)/W181,"")</f>
        <v>1.1452368558042689E-2</v>
      </c>
      <c r="AB181" s="15">
        <f>IFERROR(($R$19-R181)/W181,"")</f>
        <v>1.1387298282144718E-2</v>
      </c>
      <c r="AC181" s="15">
        <f>IFERROR(($S$19-S181)/W181,"")</f>
        <v>1.1777719937532538E-2</v>
      </c>
      <c r="AD181" s="20">
        <f t="shared" si="725"/>
        <v>1.1539128925906647E-2</v>
      </c>
      <c r="AE181" s="40">
        <f t="shared" si="718"/>
        <v>1.8708883092875145E-4</v>
      </c>
      <c r="AG181" s="229"/>
      <c r="AH181" s="77">
        <f>'Sample ID'!$F$11</f>
        <v>0</v>
      </c>
      <c r="AI181" s="77">
        <f>IFERROR((X181*$AH$37),"")</f>
        <v>0</v>
      </c>
      <c r="AJ181" s="77">
        <f t="shared" ref="AJ181" si="736">IFERROR((Y181*$AH$37),"")</f>
        <v>0</v>
      </c>
      <c r="AK181" s="77">
        <f t="shared" ref="AK181" si="737">IFERROR((Z181*$AH$37),"")</f>
        <v>0</v>
      </c>
      <c r="AL181" s="77">
        <f t="shared" ref="AL181" si="738">IFERROR((AA181*$AH$37),"")</f>
        <v>0</v>
      </c>
      <c r="AM181" s="77">
        <f t="shared" ref="AM181" si="739">IFERROR((AB181*$AH$37),"")</f>
        <v>0</v>
      </c>
      <c r="AN181" s="77">
        <f t="shared" ref="AN181" si="740">IFERROR((AC181*$AH$37),"")</f>
        <v>0</v>
      </c>
      <c r="AO181" s="40">
        <f t="shared" si="717"/>
        <v>0</v>
      </c>
      <c r="AP181" s="40">
        <f t="shared" si="724"/>
        <v>0</v>
      </c>
      <c r="AQ181" s="15"/>
      <c r="AR181" s="15"/>
    </row>
    <row r="182" spans="3:44">
      <c r="C182" s="232"/>
      <c r="D182" s="21" t="s">
        <v>22</v>
      </c>
      <c r="E182" s="22">
        <f>Data!B129</f>
        <v>1.706</v>
      </c>
      <c r="F182" s="22">
        <f>Data!C129</f>
        <v>1.698</v>
      </c>
      <c r="G182" s="22">
        <f>Data!D129</f>
        <v>1.72</v>
      </c>
      <c r="H182" s="22">
        <f>Data!E129</f>
        <v>1.706</v>
      </c>
      <c r="I182" s="22">
        <f>Data!F129</f>
        <v>1.698</v>
      </c>
      <c r="J182" s="22">
        <f>Data!G129</f>
        <v>1.72</v>
      </c>
      <c r="K182" s="22"/>
      <c r="L182" s="232"/>
      <c r="M182" s="130" t="s">
        <v>22</v>
      </c>
      <c r="N182" s="15">
        <f t="shared" si="704"/>
        <v>1.472800624674649</v>
      </c>
      <c r="O182" s="15">
        <f t="shared" si="704"/>
        <v>1.4649921915668924</v>
      </c>
      <c r="P182" s="15">
        <f t="shared" si="704"/>
        <v>1.4864653826132226</v>
      </c>
      <c r="Q182" s="15">
        <f t="shared" si="704"/>
        <v>1.472800624674649</v>
      </c>
      <c r="R182" s="15">
        <f t="shared" si="704"/>
        <v>1.4649921915668924</v>
      </c>
      <c r="S182" s="15">
        <f t="shared" si="704"/>
        <v>1.4864653826132226</v>
      </c>
      <c r="T182" s="20">
        <f t="shared" si="705"/>
        <v>1.4747527329515879</v>
      </c>
      <c r="U182" s="40">
        <f t="shared" si="706"/>
        <v>9.7214208209178473E-3</v>
      </c>
      <c r="V182" s="109"/>
      <c r="W182" s="110">
        <v>45</v>
      </c>
      <c r="X182" s="20">
        <f>IFERROR(($N$20-N182)/W182,"")</f>
        <v>4.3597084851639796E-3</v>
      </c>
      <c r="Y182" s="15">
        <f>IFERROR(($O$20-O182)/W182,"")</f>
        <v>4.4247787610619512E-3</v>
      </c>
      <c r="Z182" s="15">
        <f>IFERROR(($P$20-P182)/W182,"")</f>
        <v>4.2078778414020458E-3</v>
      </c>
      <c r="AA182" s="15">
        <f>IFERROR(($Q$20-Q182)/W182,"")</f>
        <v>4.3597084851639796E-3</v>
      </c>
      <c r="AB182" s="15">
        <f>IFERROR(($R$20-R182)/W182,"")</f>
        <v>4.4247787610619512E-3</v>
      </c>
      <c r="AC182" s="15">
        <f>IFERROR(($S$20-S182)/W182,"")</f>
        <v>4.2078778414020458E-3</v>
      </c>
      <c r="AD182" s="20">
        <f t="shared" si="725"/>
        <v>4.3307883625426586E-3</v>
      </c>
      <c r="AE182" s="40">
        <f t="shared" si="718"/>
        <v>9.9554135450627496E-5</v>
      </c>
      <c r="AG182" s="229"/>
      <c r="AH182" s="77">
        <f>'Sample ID'!$F$12</f>
        <v>0</v>
      </c>
      <c r="AI182" s="77">
        <f>IFERROR((X182*$AH$38),"")</f>
        <v>0</v>
      </c>
      <c r="AJ182" s="77">
        <f t="shared" ref="AJ182" si="741">IFERROR((Y182*$AH$38),"")</f>
        <v>0</v>
      </c>
      <c r="AK182" s="77">
        <f t="shared" ref="AK182" si="742">IFERROR((Z182*$AH$38),"")</f>
        <v>0</v>
      </c>
      <c r="AL182" s="77">
        <f t="shared" ref="AL182" si="743">IFERROR((AA182*$AH$38),"")</f>
        <v>0</v>
      </c>
      <c r="AM182" s="77">
        <f t="shared" ref="AM182" si="744">IFERROR((AB182*$AH$38),"")</f>
        <v>0</v>
      </c>
      <c r="AN182" s="77">
        <f t="shared" ref="AN182" si="745">IFERROR((AC182*$AH$38),"")</f>
        <v>0</v>
      </c>
      <c r="AO182" s="40">
        <f t="shared" si="717"/>
        <v>0</v>
      </c>
      <c r="AP182" s="40">
        <f t="shared" si="724"/>
        <v>0</v>
      </c>
      <c r="AQ182" s="15"/>
      <c r="AR182" s="15"/>
    </row>
    <row r="183" spans="3:44">
      <c r="C183" s="232"/>
      <c r="D183" s="21" t="s">
        <v>23</v>
      </c>
      <c r="E183" s="22">
        <f>Data!B130</f>
        <v>0</v>
      </c>
      <c r="F183" s="22">
        <f>Data!C130</f>
        <v>0</v>
      </c>
      <c r="G183" s="22">
        <f>Data!D130</f>
        <v>0</v>
      </c>
      <c r="H183" s="22">
        <f>Data!E130</f>
        <v>0</v>
      </c>
      <c r="I183" s="22">
        <f>Data!F130</f>
        <v>0</v>
      </c>
      <c r="J183" s="22">
        <f>Data!G130</f>
        <v>0</v>
      </c>
      <c r="K183" s="22"/>
      <c r="L183" s="232"/>
      <c r="M183" s="130" t="s">
        <v>23</v>
      </c>
      <c r="N183" s="15" t="str">
        <f t="shared" si="704"/>
        <v xml:space="preserve"> </v>
      </c>
      <c r="O183" s="15" t="str">
        <f t="shared" si="704"/>
        <v xml:space="preserve"> </v>
      </c>
      <c r="P183" s="15" t="str">
        <f t="shared" si="704"/>
        <v xml:space="preserve"> </v>
      </c>
      <c r="Q183" s="15" t="str">
        <f t="shared" si="704"/>
        <v xml:space="preserve"> </v>
      </c>
      <c r="R183" s="15" t="str">
        <f t="shared" si="704"/>
        <v xml:space="preserve"> </v>
      </c>
      <c r="S183" s="15" t="str">
        <f t="shared" si="704"/>
        <v xml:space="preserve"> </v>
      </c>
      <c r="T183" s="20" t="str">
        <f t="shared" si="705"/>
        <v/>
      </c>
      <c r="U183" s="40" t="str">
        <f t="shared" si="706"/>
        <v/>
      </c>
      <c r="V183" s="109"/>
      <c r="W183" s="110">
        <v>45</v>
      </c>
      <c r="X183" s="20" t="str">
        <f>IFERROR(($N$21-N183)/W183,"")</f>
        <v/>
      </c>
      <c r="Y183" s="15" t="str">
        <f>IFERROR(($O$21-O183)/W183,"")</f>
        <v/>
      </c>
      <c r="Z183" s="15" t="str">
        <f>IFERROR(($P$21-P183)/W183,"")</f>
        <v/>
      </c>
      <c r="AA183" s="15" t="str">
        <f>IFERROR(($Q$21-Q183)/W183,"")</f>
        <v/>
      </c>
      <c r="AB183" s="15" t="str">
        <f>IFERROR(($R$21-R183)/W183,"")</f>
        <v/>
      </c>
      <c r="AC183" s="15" t="str">
        <f>IFERROR(($S$21-S183)/W183,"")</f>
        <v/>
      </c>
      <c r="AD183" s="20" t="str">
        <f t="shared" si="725"/>
        <v/>
      </c>
      <c r="AE183" s="40" t="str">
        <f t="shared" si="718"/>
        <v/>
      </c>
      <c r="AG183" s="229"/>
      <c r="AH183" s="77">
        <f>'Sample ID'!$F$13</f>
        <v>0</v>
      </c>
      <c r="AI183" s="77" t="str">
        <f>IFERROR((X183*$AH$39),"")</f>
        <v/>
      </c>
      <c r="AJ183" s="77" t="str">
        <f t="shared" ref="AJ183" si="746">IFERROR((Y183*$AH$39),"")</f>
        <v/>
      </c>
      <c r="AK183" s="77" t="str">
        <f t="shared" ref="AK183" si="747">IFERROR((Z183*$AH$39),"")</f>
        <v/>
      </c>
      <c r="AL183" s="77" t="str">
        <f t="shared" ref="AL183" si="748">IFERROR((AA183*$AH$39),"")</f>
        <v/>
      </c>
      <c r="AM183" s="77" t="str">
        <f t="shared" ref="AM183" si="749">IFERROR((AB183*$AH$39),"")</f>
        <v/>
      </c>
      <c r="AN183" s="77" t="str">
        <f t="shared" ref="AN183" si="750">IFERROR((AC183*$AH$39),"")</f>
        <v/>
      </c>
      <c r="AO183" s="40" t="str">
        <f t="shared" si="717"/>
        <v/>
      </c>
      <c r="AP183" s="40" t="str">
        <f t="shared" si="724"/>
        <v/>
      </c>
      <c r="AQ183" s="15"/>
      <c r="AR183" s="15"/>
    </row>
    <row r="184" spans="3:44">
      <c r="C184" s="232"/>
      <c r="D184" s="39"/>
      <c r="E184" s="56">
        <v>7</v>
      </c>
      <c r="F184" s="56">
        <v>8</v>
      </c>
      <c r="G184" s="57">
        <v>9</v>
      </c>
      <c r="H184" s="56">
        <v>10</v>
      </c>
      <c r="I184" s="56">
        <v>11</v>
      </c>
      <c r="J184" s="57">
        <v>12</v>
      </c>
      <c r="K184" s="27"/>
      <c r="L184" s="232"/>
      <c r="M184" s="38"/>
      <c r="N184" s="59">
        <v>7</v>
      </c>
      <c r="O184" s="38">
        <v>8</v>
      </c>
      <c r="P184" s="38">
        <v>9</v>
      </c>
      <c r="Q184" s="38">
        <v>10</v>
      </c>
      <c r="R184" s="38">
        <v>11</v>
      </c>
      <c r="S184" s="50">
        <v>12</v>
      </c>
      <c r="T184" s="38" t="s">
        <v>24</v>
      </c>
      <c r="U184" s="51" t="s">
        <v>3</v>
      </c>
      <c r="V184" s="109"/>
      <c r="W184" s="98"/>
      <c r="X184" s="38">
        <v>7</v>
      </c>
      <c r="Y184" s="38">
        <v>8</v>
      </c>
      <c r="Z184" s="38">
        <v>9</v>
      </c>
      <c r="AA184" s="38">
        <v>10</v>
      </c>
      <c r="AB184" s="38">
        <v>11</v>
      </c>
      <c r="AC184" s="50">
        <v>12</v>
      </c>
      <c r="AD184" s="50" t="s">
        <v>49</v>
      </c>
      <c r="AE184" s="51" t="s">
        <v>3</v>
      </c>
      <c r="AG184" s="229"/>
      <c r="AH184" s="119"/>
      <c r="AI184" s="119"/>
      <c r="AJ184" s="119"/>
      <c r="AK184" s="119"/>
      <c r="AL184" s="119"/>
      <c r="AM184" s="119"/>
      <c r="AN184" s="119"/>
      <c r="AO184" s="100" t="str">
        <f>IFERROR(#REF!/(#REF!/W184), " ")</f>
        <v xml:space="preserve"> </v>
      </c>
      <c r="AP184" s="51" t="s">
        <v>3</v>
      </c>
      <c r="AQ184" s="15"/>
      <c r="AR184" s="15"/>
    </row>
    <row r="185" spans="3:44">
      <c r="C185" s="232"/>
      <c r="D185" s="21" t="s">
        <v>16</v>
      </c>
      <c r="E185" s="22">
        <f>Data!H123</f>
        <v>0</v>
      </c>
      <c r="F185" s="22">
        <f>Data!I123</f>
        <v>0</v>
      </c>
      <c r="G185" s="22">
        <f>Data!J123</f>
        <v>0</v>
      </c>
      <c r="H185" s="22">
        <f>Data!K123</f>
        <v>0</v>
      </c>
      <c r="I185" s="22">
        <f>Data!L123</f>
        <v>0</v>
      </c>
      <c r="J185" s="22">
        <f>Data!M123</f>
        <v>0</v>
      </c>
      <c r="K185" s="22"/>
      <c r="L185" s="232"/>
      <c r="M185" s="130" t="s">
        <v>16</v>
      </c>
      <c r="N185" s="15" t="str">
        <f t="shared" ref="N185:S192" si="751">IF(((E185-$P$11)/$P$10)&gt;0,((E185-$P$11)/$P$10)," ")</f>
        <v xml:space="preserve"> </v>
      </c>
      <c r="O185" s="15" t="str">
        <f t="shared" si="751"/>
        <v xml:space="preserve"> </v>
      </c>
      <c r="P185" s="15" t="str">
        <f t="shared" si="751"/>
        <v xml:space="preserve"> </v>
      </c>
      <c r="Q185" s="15" t="str">
        <f t="shared" si="751"/>
        <v xml:space="preserve"> </v>
      </c>
      <c r="R185" s="15" t="str">
        <f t="shared" si="751"/>
        <v xml:space="preserve"> </v>
      </c>
      <c r="S185" s="15" t="str">
        <f t="shared" si="751"/>
        <v xml:space="preserve"> </v>
      </c>
      <c r="T185" s="20" t="str">
        <f t="shared" si="705"/>
        <v/>
      </c>
      <c r="U185" s="40" t="str">
        <f t="shared" si="706"/>
        <v/>
      </c>
      <c r="V185" s="109"/>
      <c r="W185" s="110">
        <v>45</v>
      </c>
      <c r="X185" s="20" t="str">
        <f>IFERROR(($N$23-N185)/W185,"")</f>
        <v/>
      </c>
      <c r="Y185" s="15" t="str">
        <f>IFERROR(($O$23-O185)/W185,"")</f>
        <v/>
      </c>
      <c r="Z185" s="15" t="str">
        <f>IFERROR(($P$23-P185)/W185,"")</f>
        <v/>
      </c>
      <c r="AA185" s="15" t="str">
        <f>IFERROR(($Q$23-Q185)/W185,"")</f>
        <v/>
      </c>
      <c r="AB185" s="15" t="str">
        <f>IFERROR(($R$23-R185)/W185,"")</f>
        <v/>
      </c>
      <c r="AC185" s="15" t="str">
        <f>IFERROR(($S$23-S185)/W185,"")</f>
        <v/>
      </c>
      <c r="AD185" s="20" t="str">
        <f t="shared" ref="AD185:AD186" si="752">IFERROR(AVERAGE(X185:AC185), "")</f>
        <v/>
      </c>
      <c r="AE185" s="40" t="str">
        <f t="shared" ref="AE185:AE186" si="753">IFERROR(STDEV(X185:AC185), "")</f>
        <v/>
      </c>
      <c r="AG185" s="229"/>
      <c r="AH185" s="77">
        <f>'Sample ID'!$F$14</f>
        <v>0</v>
      </c>
      <c r="AI185" s="77" t="str">
        <f>IFERROR((X185*$AH$41),"")</f>
        <v/>
      </c>
      <c r="AJ185" s="77" t="str">
        <f t="shared" ref="AJ185" si="754">IFERROR((Y185*$AH$41),"")</f>
        <v/>
      </c>
      <c r="AK185" s="77" t="str">
        <f t="shared" ref="AK185" si="755">IFERROR((Z185*$AH$41),"")</f>
        <v/>
      </c>
      <c r="AL185" s="77" t="str">
        <f t="shared" ref="AL185" si="756">IFERROR((AA185*$AH$41),"")</f>
        <v/>
      </c>
      <c r="AM185" s="77" t="str">
        <f t="shared" ref="AM185" si="757">IFERROR((AB185*$AH$41),"")</f>
        <v/>
      </c>
      <c r="AN185" s="77" t="str">
        <f t="shared" ref="AN185" si="758">IFERROR((AC185*$AH$41),"")</f>
        <v/>
      </c>
      <c r="AO185" s="40" t="str">
        <f>IFERROR(AVERAGE(AI185:AN185),"")</f>
        <v/>
      </c>
      <c r="AP185" s="40" t="str">
        <f t="shared" ref="AP185:AP186" si="759">IFERROR(STDEV(AI185:AN185), "")</f>
        <v/>
      </c>
      <c r="AQ185" s="15"/>
      <c r="AR185" s="15"/>
    </row>
    <row r="186" spans="3:44">
      <c r="C186" s="232"/>
      <c r="D186" s="21" t="s">
        <v>17</v>
      </c>
      <c r="E186" s="22">
        <f>Data!H124</f>
        <v>0</v>
      </c>
      <c r="F186" s="22">
        <f>Data!I124</f>
        <v>0</v>
      </c>
      <c r="G186" s="22">
        <f>Data!J124</f>
        <v>0</v>
      </c>
      <c r="H186" s="22">
        <f>Data!K124</f>
        <v>0</v>
      </c>
      <c r="I186" s="22">
        <f>Data!L124</f>
        <v>0</v>
      </c>
      <c r="J186" s="22">
        <f>Data!M124</f>
        <v>0</v>
      </c>
      <c r="K186" s="22"/>
      <c r="L186" s="232"/>
      <c r="M186" s="130" t="s">
        <v>17</v>
      </c>
      <c r="N186" s="15" t="str">
        <f t="shared" si="751"/>
        <v xml:space="preserve"> </v>
      </c>
      <c r="O186" s="15" t="str">
        <f t="shared" si="751"/>
        <v xml:space="preserve"> </v>
      </c>
      <c r="P186" s="15" t="str">
        <f t="shared" si="751"/>
        <v xml:space="preserve"> </v>
      </c>
      <c r="Q186" s="15" t="str">
        <f t="shared" si="751"/>
        <v xml:space="preserve"> </v>
      </c>
      <c r="R186" s="15" t="str">
        <f t="shared" si="751"/>
        <v xml:space="preserve"> </v>
      </c>
      <c r="S186" s="15" t="str">
        <f t="shared" si="751"/>
        <v xml:space="preserve"> </v>
      </c>
      <c r="T186" s="20" t="str">
        <f t="shared" si="705"/>
        <v/>
      </c>
      <c r="U186" s="40" t="str">
        <f t="shared" si="706"/>
        <v/>
      </c>
      <c r="V186" s="109"/>
      <c r="W186" s="110">
        <v>45</v>
      </c>
      <c r="X186" s="20" t="str">
        <f>IFERROR(($N$24-N186)/W186,"")</f>
        <v/>
      </c>
      <c r="Y186" s="15" t="str">
        <f>IFERROR(($O$24-O186)/W186,"")</f>
        <v/>
      </c>
      <c r="Z186" s="15" t="str">
        <f>IFERROR(($P$24-P186)/W186,"")</f>
        <v/>
      </c>
      <c r="AA186" s="15" t="str">
        <f>IFERROR(($Q$24-Q186)/W186,"")</f>
        <v/>
      </c>
      <c r="AB186" s="15" t="str">
        <f>IFERROR(($R$24-R186)/W186,"")</f>
        <v/>
      </c>
      <c r="AC186" s="15" t="str">
        <f>IFERROR(($S$24-S186)/W186,"")</f>
        <v/>
      </c>
      <c r="AD186" s="20" t="str">
        <f t="shared" si="752"/>
        <v/>
      </c>
      <c r="AE186" s="40" t="str">
        <f t="shared" si="753"/>
        <v/>
      </c>
      <c r="AG186" s="229"/>
      <c r="AH186" s="77">
        <f>'Sample ID'!$F$15</f>
        <v>0</v>
      </c>
      <c r="AI186" s="77" t="str">
        <f>IFERROR((X186*$AH$42),"")</f>
        <v/>
      </c>
      <c r="AJ186" s="77" t="str">
        <f t="shared" ref="AJ186" si="760">IFERROR((Y186*$AH$42),"")</f>
        <v/>
      </c>
      <c r="AK186" s="77" t="str">
        <f t="shared" ref="AK186" si="761">IFERROR((Z186*$AH$42),"")</f>
        <v/>
      </c>
      <c r="AL186" s="77" t="str">
        <f t="shared" ref="AL186" si="762">IFERROR((AA186*$AH$42),"")</f>
        <v/>
      </c>
      <c r="AM186" s="77" t="str">
        <f t="shared" ref="AM186" si="763">IFERROR((AB186*$AH$42),"")</f>
        <v/>
      </c>
      <c r="AN186" s="77" t="str">
        <f t="shared" ref="AN186" si="764">IFERROR((AC186*$AH$42),"")</f>
        <v/>
      </c>
      <c r="AO186" s="40" t="str">
        <f t="shared" ref="AO186:AO192" si="765">IFERROR(AVERAGE(AI186:AN186),"")</f>
        <v/>
      </c>
      <c r="AP186" s="40" t="str">
        <f t="shared" si="759"/>
        <v/>
      </c>
      <c r="AQ186" s="15"/>
      <c r="AR186" s="15"/>
    </row>
    <row r="187" spans="3:44">
      <c r="C187" s="232"/>
      <c r="D187" s="21" t="s">
        <v>18</v>
      </c>
      <c r="E187" s="22">
        <f>Data!H125</f>
        <v>0</v>
      </c>
      <c r="F187" s="22">
        <f>Data!I125</f>
        <v>0</v>
      </c>
      <c r="G187" s="22">
        <f>Data!J125</f>
        <v>0</v>
      </c>
      <c r="H187" s="22">
        <f>Data!K125</f>
        <v>0</v>
      </c>
      <c r="I187" s="22">
        <f>Data!L125</f>
        <v>0</v>
      </c>
      <c r="J187" s="22">
        <f>Data!M125</f>
        <v>0</v>
      </c>
      <c r="K187" s="22"/>
      <c r="L187" s="232"/>
      <c r="M187" s="130" t="s">
        <v>18</v>
      </c>
      <c r="N187" s="15" t="str">
        <f t="shared" si="751"/>
        <v xml:space="preserve"> </v>
      </c>
      <c r="O187" s="15" t="str">
        <f t="shared" si="751"/>
        <v xml:space="preserve"> </v>
      </c>
      <c r="P187" s="15" t="str">
        <f t="shared" si="751"/>
        <v xml:space="preserve"> </v>
      </c>
      <c r="Q187" s="15" t="str">
        <f t="shared" si="751"/>
        <v xml:space="preserve"> </v>
      </c>
      <c r="R187" s="15" t="str">
        <f t="shared" si="751"/>
        <v xml:space="preserve"> </v>
      </c>
      <c r="S187" s="15" t="str">
        <f t="shared" si="751"/>
        <v xml:space="preserve"> </v>
      </c>
      <c r="T187" s="20" t="str">
        <f t="shared" si="705"/>
        <v/>
      </c>
      <c r="U187" s="40" t="str">
        <f t="shared" si="706"/>
        <v/>
      </c>
      <c r="V187" s="109"/>
      <c r="W187" s="110">
        <v>45</v>
      </c>
      <c r="X187" s="20" t="str">
        <f>IFERROR(($N$25-N187)/W187,"")</f>
        <v/>
      </c>
      <c r="Y187" s="15" t="str">
        <f>IFERROR(($O$25-O187)/W187,"")</f>
        <v/>
      </c>
      <c r="Z187" s="15" t="str">
        <f>IFERROR(($P$25-P187)/W187,"")</f>
        <v/>
      </c>
      <c r="AA187" s="15" t="str">
        <f>IFERROR(($Q$25-Q187)/W187,"")</f>
        <v/>
      </c>
      <c r="AB187" s="15" t="str">
        <f>IFERROR(($R$25-R187)/W187,"")</f>
        <v/>
      </c>
      <c r="AC187" s="15" t="str">
        <f>IFERROR(($S$25-S187)/W187,"")</f>
        <v/>
      </c>
      <c r="AD187" s="20" t="str">
        <f>IFERROR(AVERAGE(X187:AC187), "")</f>
        <v/>
      </c>
      <c r="AE187" s="40" t="str">
        <f>IFERROR(STDEV(X187:AC187), "")</f>
        <v/>
      </c>
      <c r="AG187" s="229"/>
      <c r="AH187" s="77">
        <f>'Sample ID'!$F$16</f>
        <v>0</v>
      </c>
      <c r="AI187" s="77" t="str">
        <f>IFERROR((X187*$AH$43),"")</f>
        <v/>
      </c>
      <c r="AJ187" s="77" t="str">
        <f t="shared" ref="AJ187" si="766">IFERROR((Y187*$AH$43),"")</f>
        <v/>
      </c>
      <c r="AK187" s="77" t="str">
        <f t="shared" ref="AK187" si="767">IFERROR((Z187*$AH$43),"")</f>
        <v/>
      </c>
      <c r="AL187" s="77" t="str">
        <f t="shared" ref="AL187" si="768">IFERROR((AA187*$AH$43),"")</f>
        <v/>
      </c>
      <c r="AM187" s="77" t="str">
        <f t="shared" ref="AM187" si="769">IFERROR((AB187*$AH$43),"")</f>
        <v/>
      </c>
      <c r="AN187" s="77" t="str">
        <f t="shared" ref="AN187" si="770">IFERROR((AC187*$AH$43),"")</f>
        <v/>
      </c>
      <c r="AO187" s="40" t="str">
        <f t="shared" si="765"/>
        <v/>
      </c>
      <c r="AP187" s="40" t="str">
        <f>IFERROR(STDEV(AI187:AN187), "")</f>
        <v/>
      </c>
      <c r="AQ187" s="15"/>
      <c r="AR187" s="15"/>
    </row>
    <row r="188" spans="3:44">
      <c r="C188" s="232"/>
      <c r="D188" s="21" t="s">
        <v>19</v>
      </c>
      <c r="E188" s="22">
        <f>Data!H126</f>
        <v>0</v>
      </c>
      <c r="F188" s="22">
        <f>Data!I126</f>
        <v>0</v>
      </c>
      <c r="G188" s="22">
        <f>Data!J126</f>
        <v>0</v>
      </c>
      <c r="H188" s="22">
        <f>Data!K126</f>
        <v>0</v>
      </c>
      <c r="I188" s="22">
        <f>Data!L126</f>
        <v>0</v>
      </c>
      <c r="J188" s="22">
        <f>Data!M126</f>
        <v>0</v>
      </c>
      <c r="K188" s="22"/>
      <c r="L188" s="232"/>
      <c r="M188" s="130" t="s">
        <v>19</v>
      </c>
      <c r="N188" s="15" t="str">
        <f t="shared" si="751"/>
        <v xml:space="preserve"> </v>
      </c>
      <c r="O188" s="15" t="str">
        <f t="shared" si="751"/>
        <v xml:space="preserve"> </v>
      </c>
      <c r="P188" s="15" t="str">
        <f t="shared" si="751"/>
        <v xml:space="preserve"> </v>
      </c>
      <c r="Q188" s="15" t="str">
        <f t="shared" si="751"/>
        <v xml:space="preserve"> </v>
      </c>
      <c r="R188" s="15" t="str">
        <f t="shared" si="751"/>
        <v xml:space="preserve"> </v>
      </c>
      <c r="S188" s="15" t="str">
        <f t="shared" si="751"/>
        <v xml:space="preserve"> </v>
      </c>
      <c r="T188" s="20" t="str">
        <f t="shared" si="705"/>
        <v/>
      </c>
      <c r="U188" s="40" t="str">
        <f t="shared" si="706"/>
        <v/>
      </c>
      <c r="V188" s="109"/>
      <c r="W188" s="110">
        <v>45</v>
      </c>
      <c r="X188" s="20" t="str">
        <f>IFERROR(($N$26-N188)/W188,"")</f>
        <v/>
      </c>
      <c r="Y188" s="15" t="str">
        <f>IFERROR(($O$26-O188)/W188,"")</f>
        <v/>
      </c>
      <c r="Z188" s="15" t="str">
        <f>IFERROR(($P$26-P188)/W188,"")</f>
        <v/>
      </c>
      <c r="AA188" s="15" t="str">
        <f>IFERROR(($Q$17-Q188)/W188,"")</f>
        <v/>
      </c>
      <c r="AB188" s="15" t="str">
        <f>IFERROR(($R$26-R188)/W188,"")</f>
        <v/>
      </c>
      <c r="AC188" s="15" t="str">
        <f>IFERROR(($S$26-S188)/W188,"")</f>
        <v/>
      </c>
      <c r="AD188" s="20" t="str">
        <f t="shared" ref="AD188:AD191" si="771">IFERROR(AVERAGE(X188:AC188), "")</f>
        <v/>
      </c>
      <c r="AE188" s="40" t="str">
        <f t="shared" ref="AE188:AE192" si="772">IFERROR(STDEV(X188:AC188), "")</f>
        <v/>
      </c>
      <c r="AG188" s="229"/>
      <c r="AH188" s="77">
        <f>'Sample ID'!$F$17</f>
        <v>0</v>
      </c>
      <c r="AI188" s="77" t="str">
        <f>IFERROR((X188*$AH$44),"")</f>
        <v/>
      </c>
      <c r="AJ188" s="77" t="str">
        <f t="shared" ref="AJ188" si="773">IFERROR((Y188*$AH$44),"")</f>
        <v/>
      </c>
      <c r="AK188" s="77" t="str">
        <f t="shared" ref="AK188" si="774">IFERROR((Z188*$AH$44),"")</f>
        <v/>
      </c>
      <c r="AL188" s="77" t="str">
        <f t="shared" ref="AL188" si="775">IFERROR((AA188*$AH$44),"")</f>
        <v/>
      </c>
      <c r="AM188" s="77" t="str">
        <f t="shared" ref="AM188" si="776">IFERROR((AB188*$AH$44),"")</f>
        <v/>
      </c>
      <c r="AN188" s="77" t="str">
        <f t="shared" ref="AN188" si="777">IFERROR((AC188*$AH$44),"")</f>
        <v/>
      </c>
      <c r="AO188" s="40" t="str">
        <f t="shared" si="765"/>
        <v/>
      </c>
      <c r="AP188" s="40" t="str">
        <f t="shared" ref="AP188:AP192" si="778">IFERROR(STDEV(AI188:AN188), "")</f>
        <v/>
      </c>
      <c r="AQ188" s="15"/>
      <c r="AR188" s="15"/>
    </row>
    <row r="189" spans="3:44">
      <c r="C189" s="232"/>
      <c r="D189" s="21" t="s">
        <v>20</v>
      </c>
      <c r="E189" s="22">
        <f>Data!H127</f>
        <v>0</v>
      </c>
      <c r="F189" s="22">
        <f>Data!I127</f>
        <v>0</v>
      </c>
      <c r="G189" s="22">
        <f>Data!J127</f>
        <v>0</v>
      </c>
      <c r="H189" s="22">
        <f>Data!K127</f>
        <v>0</v>
      </c>
      <c r="I189" s="22">
        <f>Data!L127</f>
        <v>0</v>
      </c>
      <c r="J189" s="22">
        <f>Data!M127</f>
        <v>0</v>
      </c>
      <c r="K189" s="22"/>
      <c r="L189" s="232"/>
      <c r="M189" s="130" t="s">
        <v>20</v>
      </c>
      <c r="N189" s="15" t="str">
        <f t="shared" si="751"/>
        <v xml:space="preserve"> </v>
      </c>
      <c r="O189" s="15" t="str">
        <f t="shared" si="751"/>
        <v xml:space="preserve"> </v>
      </c>
      <c r="P189" s="15" t="str">
        <f t="shared" si="751"/>
        <v xml:space="preserve"> </v>
      </c>
      <c r="Q189" s="15" t="str">
        <f t="shared" si="751"/>
        <v xml:space="preserve"> </v>
      </c>
      <c r="R189" s="15" t="str">
        <f t="shared" si="751"/>
        <v xml:space="preserve"> </v>
      </c>
      <c r="S189" s="15" t="str">
        <f t="shared" si="751"/>
        <v xml:space="preserve"> </v>
      </c>
      <c r="T189" s="20" t="str">
        <f t="shared" si="705"/>
        <v/>
      </c>
      <c r="U189" s="40" t="str">
        <f t="shared" si="706"/>
        <v/>
      </c>
      <c r="V189" s="109"/>
      <c r="W189" s="110">
        <v>45</v>
      </c>
      <c r="X189" s="20" t="str">
        <f>IFERROR(($N$27-N189)/W189,"")</f>
        <v/>
      </c>
      <c r="Y189" s="15" t="str">
        <f>IFERROR(($O$27-O189)/W189,"")</f>
        <v/>
      </c>
      <c r="Z189" s="15" t="str">
        <f>IFERROR(($P$27-P189)/W189,"")</f>
        <v/>
      </c>
      <c r="AA189" s="15" t="str">
        <f>IFERROR(($Q$18-Q189)/W189,"")</f>
        <v/>
      </c>
      <c r="AB189" s="15" t="str">
        <f>IFERROR(($R$27-R189)/W189,"")</f>
        <v/>
      </c>
      <c r="AC189" s="15" t="str">
        <f>IFERROR(($S$27-S189)/W189,"")</f>
        <v/>
      </c>
      <c r="AD189" s="20" t="str">
        <f t="shared" si="771"/>
        <v/>
      </c>
      <c r="AE189" s="40" t="str">
        <f t="shared" si="772"/>
        <v/>
      </c>
      <c r="AG189" s="229"/>
      <c r="AH189" s="77">
        <f>'Sample ID'!$F$18</f>
        <v>0</v>
      </c>
      <c r="AI189" s="77" t="str">
        <f>IFERROR((X189*$AH$45),"")</f>
        <v/>
      </c>
      <c r="AJ189" s="77" t="str">
        <f t="shared" ref="AJ189" si="779">IFERROR((Y189*$AH$45),"")</f>
        <v/>
      </c>
      <c r="AK189" s="77" t="str">
        <f t="shared" ref="AK189" si="780">IFERROR((Z189*$AH$45),"")</f>
        <v/>
      </c>
      <c r="AL189" s="77" t="str">
        <f t="shared" ref="AL189" si="781">IFERROR((AA189*$AH$45),"")</f>
        <v/>
      </c>
      <c r="AM189" s="77" t="str">
        <f t="shared" ref="AM189" si="782">IFERROR((AB189*$AH$45),"")</f>
        <v/>
      </c>
      <c r="AN189" s="77" t="str">
        <f t="shared" ref="AN189" si="783">IFERROR((AC189*$AH$45),"")</f>
        <v/>
      </c>
      <c r="AO189" s="40" t="str">
        <f t="shared" si="765"/>
        <v/>
      </c>
      <c r="AP189" s="40" t="str">
        <f t="shared" si="778"/>
        <v/>
      </c>
      <c r="AQ189" s="15"/>
      <c r="AR189" s="15"/>
    </row>
    <row r="190" spans="3:44">
      <c r="C190" s="232"/>
      <c r="D190" s="21" t="s">
        <v>21</v>
      </c>
      <c r="E190" s="22">
        <f>Data!H128</f>
        <v>0</v>
      </c>
      <c r="F190" s="22">
        <f>Data!I128</f>
        <v>0</v>
      </c>
      <c r="G190" s="22">
        <f>Data!J128</f>
        <v>0</v>
      </c>
      <c r="H190" s="22">
        <f>Data!K128</f>
        <v>0</v>
      </c>
      <c r="I190" s="22">
        <f>Data!L128</f>
        <v>0</v>
      </c>
      <c r="J190" s="22">
        <f>Data!M128</f>
        <v>0</v>
      </c>
      <c r="K190" s="22"/>
      <c r="L190" s="232"/>
      <c r="M190" s="130" t="s">
        <v>21</v>
      </c>
      <c r="N190" s="15" t="str">
        <f t="shared" si="751"/>
        <v xml:space="preserve"> </v>
      </c>
      <c r="O190" s="15" t="str">
        <f t="shared" si="751"/>
        <v xml:space="preserve"> </v>
      </c>
      <c r="P190" s="15" t="str">
        <f t="shared" si="751"/>
        <v xml:space="preserve"> </v>
      </c>
      <c r="Q190" s="15" t="str">
        <f t="shared" si="751"/>
        <v xml:space="preserve"> </v>
      </c>
      <c r="R190" s="15" t="str">
        <f t="shared" si="751"/>
        <v xml:space="preserve"> </v>
      </c>
      <c r="S190" s="15" t="str">
        <f t="shared" si="751"/>
        <v xml:space="preserve"> </v>
      </c>
      <c r="T190" s="20" t="str">
        <f t="shared" si="705"/>
        <v/>
      </c>
      <c r="U190" s="40" t="str">
        <f t="shared" si="706"/>
        <v/>
      </c>
      <c r="V190" s="109"/>
      <c r="W190" s="110">
        <v>45</v>
      </c>
      <c r="X190" s="20" t="str">
        <f>IFERROR(($N$28-N190)/W190,"")</f>
        <v/>
      </c>
      <c r="Y190" s="15" t="str">
        <f>IFERROR(($O$28-O190)/W190,"")</f>
        <v/>
      </c>
      <c r="Z190" s="15" t="str">
        <f>IFERROR(($P$28-P190)/W190,"")</f>
        <v/>
      </c>
      <c r="AA190" s="15" t="str">
        <f>IFERROR(($Q$19-Q190)/W190,"")</f>
        <v/>
      </c>
      <c r="AB190" s="15" t="str">
        <f>IFERROR(($R$28-R190)/W190,"")</f>
        <v/>
      </c>
      <c r="AC190" s="15" t="str">
        <f>IFERROR(($S$28-S190)/W190,"")</f>
        <v/>
      </c>
      <c r="AD190" s="20" t="str">
        <f t="shared" si="771"/>
        <v/>
      </c>
      <c r="AE190" s="40" t="str">
        <f t="shared" si="772"/>
        <v/>
      </c>
      <c r="AG190" s="229"/>
      <c r="AH190" s="77">
        <f>'Sample ID'!$F$19</f>
        <v>0</v>
      </c>
      <c r="AI190" s="77" t="str">
        <f>IFERROR((X190*$AH$46),"")</f>
        <v/>
      </c>
      <c r="AJ190" s="77" t="str">
        <f t="shared" ref="AJ190" si="784">IFERROR((Y190*$AH$46),"")</f>
        <v/>
      </c>
      <c r="AK190" s="77" t="str">
        <f t="shared" ref="AK190" si="785">IFERROR((Z190*$AH$46),"")</f>
        <v/>
      </c>
      <c r="AL190" s="77" t="str">
        <f t="shared" ref="AL190" si="786">IFERROR((AA190*$AH$46),"")</f>
        <v/>
      </c>
      <c r="AM190" s="77" t="str">
        <f t="shared" ref="AM190" si="787">IFERROR((AB190*$AH$46),"")</f>
        <v/>
      </c>
      <c r="AN190" s="77" t="str">
        <f t="shared" ref="AN190" si="788">IFERROR((AC190*$AH$46),"")</f>
        <v/>
      </c>
      <c r="AO190" s="40" t="str">
        <f t="shared" si="765"/>
        <v/>
      </c>
      <c r="AP190" s="40" t="str">
        <f t="shared" si="778"/>
        <v/>
      </c>
      <c r="AQ190" s="15"/>
      <c r="AR190" s="15"/>
    </row>
    <row r="191" spans="3:44">
      <c r="C191" s="232"/>
      <c r="D191" s="21" t="s">
        <v>22</v>
      </c>
      <c r="E191" s="22">
        <f>Data!H129</f>
        <v>0</v>
      </c>
      <c r="F191" s="22">
        <f>Data!I129</f>
        <v>0</v>
      </c>
      <c r="G191" s="22">
        <f>Data!J129</f>
        <v>0</v>
      </c>
      <c r="H191" s="22">
        <f>Data!K129</f>
        <v>0</v>
      </c>
      <c r="I191" s="22">
        <f>Data!L129</f>
        <v>0</v>
      </c>
      <c r="J191" s="22">
        <f>Data!M129</f>
        <v>0</v>
      </c>
      <c r="K191" s="22"/>
      <c r="L191" s="232"/>
      <c r="M191" s="130" t="s">
        <v>22</v>
      </c>
      <c r="N191" s="15" t="str">
        <f t="shared" si="751"/>
        <v xml:space="preserve"> </v>
      </c>
      <c r="O191" s="15" t="str">
        <f t="shared" si="751"/>
        <v xml:space="preserve"> </v>
      </c>
      <c r="P191" s="15" t="str">
        <f t="shared" si="751"/>
        <v xml:space="preserve"> </v>
      </c>
      <c r="Q191" s="15" t="str">
        <f t="shared" si="751"/>
        <v xml:space="preserve"> </v>
      </c>
      <c r="R191" s="15" t="str">
        <f t="shared" si="751"/>
        <v xml:space="preserve"> </v>
      </c>
      <c r="S191" s="15" t="str">
        <f t="shared" si="751"/>
        <v xml:space="preserve"> </v>
      </c>
      <c r="T191" s="20" t="str">
        <f t="shared" si="705"/>
        <v/>
      </c>
      <c r="U191" s="40" t="str">
        <f t="shared" si="706"/>
        <v/>
      </c>
      <c r="V191" s="109"/>
      <c r="W191" s="110">
        <v>45</v>
      </c>
      <c r="X191" s="20" t="str">
        <f>IFERROR(($N$29-N191)/W191,"")</f>
        <v/>
      </c>
      <c r="Y191" s="15" t="str">
        <f>IFERROR(($O$29-O191)/W191,"")</f>
        <v/>
      </c>
      <c r="Z191" s="15" t="str">
        <f>IFERROR(($P$29-P191)/W191,"")</f>
        <v/>
      </c>
      <c r="AA191" s="15" t="str">
        <f>IFERROR(($Q$20-Q191)/W191,"")</f>
        <v/>
      </c>
      <c r="AB191" s="15" t="str">
        <f>IFERROR(($R$29-R191)/W191,"")</f>
        <v/>
      </c>
      <c r="AC191" s="15" t="str">
        <f>IFERROR(($S$29-S191)/W191,"")</f>
        <v/>
      </c>
      <c r="AD191" s="20" t="str">
        <f t="shared" si="771"/>
        <v/>
      </c>
      <c r="AE191" s="40" t="str">
        <f t="shared" si="772"/>
        <v/>
      </c>
      <c r="AG191" s="229"/>
      <c r="AH191" s="77">
        <f>'Sample ID'!$F$20</f>
        <v>0</v>
      </c>
      <c r="AI191" s="77" t="str">
        <f>IFERROR((X191*$AH$47),"")</f>
        <v/>
      </c>
      <c r="AJ191" s="77" t="str">
        <f t="shared" ref="AJ191" si="789">IFERROR((Y191*$AH$47),"")</f>
        <v/>
      </c>
      <c r="AK191" s="77" t="str">
        <f t="shared" ref="AK191" si="790">IFERROR((Z191*$AH$47),"")</f>
        <v/>
      </c>
      <c r="AL191" s="77" t="str">
        <f t="shared" ref="AL191" si="791">IFERROR((AA191*$AH$47),"")</f>
        <v/>
      </c>
      <c r="AM191" s="77" t="str">
        <f t="shared" ref="AM191" si="792">IFERROR((AB191*$AH$47),"")</f>
        <v/>
      </c>
      <c r="AN191" s="77" t="str">
        <f t="shared" ref="AN191" si="793">IFERROR((AC191*$AH$47),"")</f>
        <v/>
      </c>
      <c r="AO191" s="40" t="str">
        <f t="shared" si="765"/>
        <v/>
      </c>
      <c r="AP191" s="40" t="str">
        <f t="shared" si="778"/>
        <v/>
      </c>
      <c r="AQ191" s="15"/>
      <c r="AR191" s="15"/>
    </row>
    <row r="192" spans="3:44">
      <c r="C192" s="232"/>
      <c r="D192" s="21" t="s">
        <v>23</v>
      </c>
      <c r="E192" s="22">
        <f>Data!H130</f>
        <v>0</v>
      </c>
      <c r="F192" s="22">
        <f>Data!I130</f>
        <v>0</v>
      </c>
      <c r="G192" s="22">
        <f>Data!J130</f>
        <v>0</v>
      </c>
      <c r="H192" s="22">
        <f>Data!K130</f>
        <v>0</v>
      </c>
      <c r="I192" s="22">
        <f>Data!L130</f>
        <v>0</v>
      </c>
      <c r="J192" s="22">
        <f>Data!M130</f>
        <v>0</v>
      </c>
      <c r="K192" s="22"/>
      <c r="L192" s="232"/>
      <c r="M192" s="130" t="s">
        <v>23</v>
      </c>
      <c r="N192" s="15" t="str">
        <f t="shared" si="751"/>
        <v xml:space="preserve"> </v>
      </c>
      <c r="O192" s="15" t="str">
        <f t="shared" si="751"/>
        <v xml:space="preserve"> </v>
      </c>
      <c r="P192" s="15" t="str">
        <f t="shared" si="751"/>
        <v xml:space="preserve"> </v>
      </c>
      <c r="Q192" s="15" t="str">
        <f t="shared" si="751"/>
        <v xml:space="preserve"> </v>
      </c>
      <c r="R192" s="15" t="str">
        <f t="shared" si="751"/>
        <v xml:space="preserve"> </v>
      </c>
      <c r="S192" s="15" t="str">
        <f t="shared" si="751"/>
        <v xml:space="preserve"> </v>
      </c>
      <c r="T192" s="20" t="str">
        <f t="shared" si="705"/>
        <v/>
      </c>
      <c r="U192" s="40" t="str">
        <f t="shared" si="706"/>
        <v/>
      </c>
      <c r="V192" s="109"/>
      <c r="W192" s="110">
        <v>45</v>
      </c>
      <c r="X192" s="20" t="str">
        <f>IFERROR(($N$30-N192)/W192,"")</f>
        <v/>
      </c>
      <c r="Y192" s="15" t="str">
        <f>IFERROR(($O$30-O192)/W192,"")</f>
        <v/>
      </c>
      <c r="Z192" s="15" t="str">
        <f>IFERROR(($P$30-P192)/W192,"")</f>
        <v/>
      </c>
      <c r="AA192" s="15" t="str">
        <f>IFERROR(($Q$21-Q192)/W192,"")</f>
        <v/>
      </c>
      <c r="AB192" s="17" t="str">
        <f>IFERROR(($R$30-R192)/W192,"")</f>
        <v/>
      </c>
      <c r="AC192" s="15" t="str">
        <f>IFERROR(($S$30-S192)/W192,"")</f>
        <v/>
      </c>
      <c r="AD192" s="20" t="str">
        <f>IFERROR(AVERAGE(X192:AC192), "")</f>
        <v/>
      </c>
      <c r="AE192" s="40" t="str">
        <f t="shared" si="772"/>
        <v/>
      </c>
      <c r="AG192" s="230"/>
      <c r="AH192" s="77">
        <f>'Sample ID'!$F$21</f>
        <v>0</v>
      </c>
      <c r="AI192" s="77" t="str">
        <f>IFERROR((X192*$AH$48),"")</f>
        <v/>
      </c>
      <c r="AJ192" s="77" t="str">
        <f t="shared" ref="AJ192" si="794">IFERROR((Y192*$AH$48),"")</f>
        <v/>
      </c>
      <c r="AK192" s="77" t="str">
        <f t="shared" ref="AK192" si="795">IFERROR((Z192*$AH$48),"")</f>
        <v/>
      </c>
      <c r="AL192" s="77" t="str">
        <f t="shared" ref="AL192" si="796">IFERROR((AA192*$AH$48),"")</f>
        <v/>
      </c>
      <c r="AM192" s="77" t="str">
        <f t="shared" ref="AM192" si="797">IFERROR((AB192*$AH$48),"")</f>
        <v/>
      </c>
      <c r="AN192" s="77" t="str">
        <f t="shared" ref="AN192" si="798">IFERROR((AC192*$AH$48),"")</f>
        <v/>
      </c>
      <c r="AO192" s="40" t="str">
        <f t="shared" si="765"/>
        <v/>
      </c>
      <c r="AP192" s="40" t="str">
        <f t="shared" si="778"/>
        <v/>
      </c>
      <c r="AQ192" s="15"/>
      <c r="AR192" s="15"/>
    </row>
    <row r="193" spans="3:44">
      <c r="C193" s="232">
        <v>50</v>
      </c>
      <c r="D193" s="50"/>
      <c r="E193" s="58">
        <v>1</v>
      </c>
      <c r="F193" s="58">
        <v>2</v>
      </c>
      <c r="G193" s="59">
        <v>3</v>
      </c>
      <c r="H193" s="56">
        <v>4</v>
      </c>
      <c r="I193" s="56">
        <v>5</v>
      </c>
      <c r="J193" s="57">
        <v>6</v>
      </c>
      <c r="K193" s="27"/>
      <c r="L193" s="232">
        <v>50</v>
      </c>
      <c r="M193" s="38"/>
      <c r="N193" s="59">
        <v>1</v>
      </c>
      <c r="O193" s="38">
        <v>2</v>
      </c>
      <c r="P193" s="38">
        <v>3</v>
      </c>
      <c r="Q193" s="38">
        <v>4</v>
      </c>
      <c r="R193" s="38">
        <v>5</v>
      </c>
      <c r="S193" s="50">
        <v>6</v>
      </c>
      <c r="T193" s="38" t="s">
        <v>24</v>
      </c>
      <c r="U193" s="51" t="s">
        <v>3</v>
      </c>
      <c r="V193" s="109"/>
      <c r="W193" s="38" t="s">
        <v>34</v>
      </c>
      <c r="X193" s="38">
        <v>1</v>
      </c>
      <c r="Y193" s="38">
        <v>2</v>
      </c>
      <c r="Z193" s="38">
        <v>3</v>
      </c>
      <c r="AA193" s="38">
        <v>4</v>
      </c>
      <c r="AB193" s="38">
        <v>5</v>
      </c>
      <c r="AC193" s="50">
        <v>6</v>
      </c>
      <c r="AD193" s="50" t="s">
        <v>49</v>
      </c>
      <c r="AE193" s="51" t="s">
        <v>3</v>
      </c>
      <c r="AF193" s="69"/>
      <c r="AG193" s="231">
        <v>50</v>
      </c>
      <c r="AH193" s="38" t="s">
        <v>35</v>
      </c>
      <c r="AI193" s="38"/>
      <c r="AJ193" s="38"/>
      <c r="AK193" s="38"/>
      <c r="AL193" s="38"/>
      <c r="AM193" s="38"/>
      <c r="AN193" s="38"/>
      <c r="AO193" s="52" t="s">
        <v>36</v>
      </c>
      <c r="AP193" s="51" t="s">
        <v>3</v>
      </c>
      <c r="AQ193" s="15"/>
      <c r="AR193" s="15"/>
    </row>
    <row r="194" spans="3:44">
      <c r="C194" s="232"/>
      <c r="D194" s="21" t="s">
        <v>16</v>
      </c>
      <c r="E194" s="22">
        <f>Data!B135</f>
        <v>1.9330000000000001</v>
      </c>
      <c r="F194" s="22">
        <f>Data!C135</f>
        <v>1.9119999999999999</v>
      </c>
      <c r="G194" s="22">
        <f>Data!D135</f>
        <v>1.94</v>
      </c>
      <c r="H194" s="22">
        <f>Data!E135</f>
        <v>1.9330000000000001</v>
      </c>
      <c r="I194" s="22">
        <f>Data!F135</f>
        <v>1.9119999999999999</v>
      </c>
      <c r="J194" s="22">
        <f>Data!G135</f>
        <v>1.94</v>
      </c>
      <c r="K194" s="22"/>
      <c r="L194" s="232"/>
      <c r="M194" s="130" t="s">
        <v>16</v>
      </c>
      <c r="N194" s="15">
        <f t="shared" ref="N194:S201" si="799">IF(((E194-$P$11)/$P$10)&gt;0,((E194-$P$11)/$P$10)," ")</f>
        <v>1.6943649141072363</v>
      </c>
      <c r="O194" s="15">
        <f t="shared" si="799"/>
        <v>1.6738677771993755</v>
      </c>
      <c r="P194" s="15">
        <f t="shared" si="799"/>
        <v>1.7011972930765229</v>
      </c>
      <c r="Q194" s="15">
        <f t="shared" si="799"/>
        <v>1.6943649141072363</v>
      </c>
      <c r="R194" s="15">
        <f t="shared" si="799"/>
        <v>1.6738677771993755</v>
      </c>
      <c r="S194" s="15">
        <f t="shared" si="799"/>
        <v>1.7011972930765229</v>
      </c>
      <c r="T194" s="20">
        <f t="shared" si="705"/>
        <v>1.6898099947943785</v>
      </c>
      <c r="U194" s="40">
        <f t="shared" si="706"/>
        <v>1.2721197332949392E-2</v>
      </c>
      <c r="V194" s="109"/>
      <c r="W194" s="110">
        <v>50</v>
      </c>
      <c r="X194" s="20">
        <f>IFERROR(($N$14-N194)/W194,"")</f>
        <v>7.4180114523685341E-4</v>
      </c>
      <c r="Y194" s="15">
        <f>IFERROR(($O$14-O194)/W194,"")</f>
        <v>1.1322228006246781E-3</v>
      </c>
      <c r="Z194" s="15">
        <f>IFERROR(($P$14-P194)/W194,"")</f>
        <v>1.1517438833940697E-3</v>
      </c>
      <c r="AA194" s="15">
        <f>IFERROR(($Q$14-Q194)/W194,"")</f>
        <v>7.4180114523685341E-4</v>
      </c>
      <c r="AB194" s="15">
        <f>IFERROR(($R$14-R194)/W194,"")</f>
        <v>1.1322228006246781E-3</v>
      </c>
      <c r="AC194" s="15">
        <f>IFERROR(($S$14-S194)/W194,"")</f>
        <v>1.1517438833940697E-3</v>
      </c>
      <c r="AD194" s="20">
        <f>IFERROR(AVERAGE(X194:AC194), "")</f>
        <v>1.0085892764185337E-3</v>
      </c>
      <c r="AE194" s="40">
        <f>IFERROR(STDEV(X194:AC194), "")</f>
        <v>2.0683751762711226E-4</v>
      </c>
      <c r="AG194" s="229"/>
      <c r="AH194" s="76">
        <f>'Sample ID'!$F$6</f>
        <v>1</v>
      </c>
      <c r="AI194" s="77">
        <f>IFERROR((X194*$AH$32),"")</f>
        <v>7.4180114523685341E-4</v>
      </c>
      <c r="AJ194" s="77">
        <f t="shared" ref="AJ194" si="800">IFERROR((Y194*$AH$32),"")</f>
        <v>1.1322228006246781E-3</v>
      </c>
      <c r="AK194" s="77">
        <f t="shared" ref="AK194" si="801">IFERROR((Z194*$AH$32),"")</f>
        <v>1.1517438833940697E-3</v>
      </c>
      <c r="AL194" s="77">
        <f t="shared" ref="AL194" si="802">IFERROR((AA194*$AH$32),"")</f>
        <v>7.4180114523685341E-4</v>
      </c>
      <c r="AM194" s="77">
        <f t="shared" ref="AM194" si="803">IFERROR((AB194*$AH$32),"")</f>
        <v>1.1322228006246781E-3</v>
      </c>
      <c r="AN194" s="77">
        <f t="shared" ref="AN194" si="804">IFERROR((AC194*$AH$32),"")</f>
        <v>1.1517438833940697E-3</v>
      </c>
      <c r="AO194" s="40">
        <f>IFERROR(AVERAGE(AI194:AN194),"")</f>
        <v>1.0085892764185337E-3</v>
      </c>
      <c r="AP194" s="40">
        <f>IFERROR(STDEV(AI194:AN194), "")</f>
        <v>2.0683751762711226E-4</v>
      </c>
      <c r="AQ194" s="15"/>
      <c r="AR194" s="15"/>
    </row>
    <row r="195" spans="3:44">
      <c r="C195" s="232"/>
      <c r="D195" s="21" t="s">
        <v>17</v>
      </c>
      <c r="E195" s="22">
        <f>Data!B136</f>
        <v>2.02</v>
      </c>
      <c r="F195" s="22">
        <f>Data!C136</f>
        <v>2.0230000000000001</v>
      </c>
      <c r="G195" s="22">
        <f>Data!D136</f>
        <v>2.024</v>
      </c>
      <c r="H195" s="22">
        <f>Data!E136</f>
        <v>2.02</v>
      </c>
      <c r="I195" s="22">
        <f>Data!F136</f>
        <v>2.0230000000000001</v>
      </c>
      <c r="J195" s="22">
        <f>Data!G136</f>
        <v>2.024</v>
      </c>
      <c r="K195" s="22"/>
      <c r="L195" s="232"/>
      <c r="M195" s="130" t="s">
        <v>17</v>
      </c>
      <c r="N195" s="15">
        <f t="shared" si="799"/>
        <v>1.7792816241540867</v>
      </c>
      <c r="O195" s="15">
        <f t="shared" si="799"/>
        <v>1.7822097865694955</v>
      </c>
      <c r="P195" s="15">
        <f t="shared" si="799"/>
        <v>1.783185840707965</v>
      </c>
      <c r="Q195" s="15">
        <f t="shared" si="799"/>
        <v>1.7792816241540867</v>
      </c>
      <c r="R195" s="15">
        <f t="shared" si="799"/>
        <v>1.7822097865694955</v>
      </c>
      <c r="S195" s="15">
        <f t="shared" si="799"/>
        <v>1.783185840707965</v>
      </c>
      <c r="T195" s="20">
        <f t="shared" si="705"/>
        <v>1.7815590838105158</v>
      </c>
      <c r="U195" s="40">
        <f t="shared" si="706"/>
        <v>1.8173139047070945E-3</v>
      </c>
      <c r="V195" s="109"/>
      <c r="W195" s="110">
        <v>50</v>
      </c>
      <c r="X195" s="20">
        <f>IFERROR(($N$15-N195)/W195,"")</f>
        <v>-1.1127017178552822E-3</v>
      </c>
      <c r="Y195" s="15">
        <f>IFERROR(($O$15-O195)/W195,"")</f>
        <v>-1.2298282144716311E-3</v>
      </c>
      <c r="Z195" s="15">
        <f>IFERROR(($P$15-P195)/W195,"")</f>
        <v>-1.0150963040083294E-3</v>
      </c>
      <c r="AA195" s="15">
        <f>IFERROR(($Q$15-Q195)/W195,"")</f>
        <v>-1.1127017178552822E-3</v>
      </c>
      <c r="AB195" s="15">
        <f>IFERROR(($R$15-R195)/W195,"")</f>
        <v>-1.2298282144716311E-3</v>
      </c>
      <c r="AC195" s="15">
        <f>IFERROR(($S$15-S195)/W195,"")</f>
        <v>-1.0150963040083294E-3</v>
      </c>
      <c r="AD195" s="20">
        <f>IFERROR(AVERAGE(X195:AC195), "")</f>
        <v>-1.1192087454450809E-3</v>
      </c>
      <c r="AE195" s="40">
        <f>IFERROR(STDEV(X195:AC195), "")</f>
        <v>9.6163212919892188E-5</v>
      </c>
      <c r="AG195" s="229"/>
      <c r="AH195" s="77">
        <f>'Sample ID'!$F$7</f>
        <v>1</v>
      </c>
      <c r="AI195" s="77">
        <f>IFERROR((X195*$AH$33),"")</f>
        <v>-1.1127017178552822E-3</v>
      </c>
      <c r="AJ195" s="77">
        <f t="shared" ref="AJ195" si="805">IFERROR((Y195*$AH$33),"")</f>
        <v>-1.2298282144716311E-3</v>
      </c>
      <c r="AK195" s="77">
        <f t="shared" ref="AK195" si="806">IFERROR((Z195*$AH$33),"")</f>
        <v>-1.0150963040083294E-3</v>
      </c>
      <c r="AL195" s="77">
        <f t="shared" ref="AL195" si="807">IFERROR((AA195*$AH$33),"")</f>
        <v>-1.1127017178552822E-3</v>
      </c>
      <c r="AM195" s="77">
        <f t="shared" ref="AM195" si="808">IFERROR((AB195*$AH$33),"")</f>
        <v>-1.2298282144716311E-3</v>
      </c>
      <c r="AN195" s="77">
        <f t="shared" ref="AN195" si="809">IFERROR((AC195*$AH$33),"")</f>
        <v>-1.0150963040083294E-3</v>
      </c>
      <c r="AO195" s="40">
        <f t="shared" ref="AO195:AO201" si="810">IFERROR(AVERAGE(AI195:AN195),"")</f>
        <v>-1.1192087454450809E-3</v>
      </c>
      <c r="AP195" s="40">
        <f>IFERROR(STDEV(AI195:AN195), "")</f>
        <v>9.6163212919892188E-5</v>
      </c>
      <c r="AQ195" s="15"/>
      <c r="AR195" s="15"/>
    </row>
    <row r="196" spans="3:44">
      <c r="C196" s="232"/>
      <c r="D196" s="21" t="s">
        <v>18</v>
      </c>
      <c r="E196" s="22">
        <f>Data!B137</f>
        <v>1.98</v>
      </c>
      <c r="F196" s="22">
        <f>Data!C137</f>
        <v>1.9890000000000001</v>
      </c>
      <c r="G196" s="22">
        <f>Data!D137</f>
        <v>2.012</v>
      </c>
      <c r="H196" s="22">
        <f>Data!E137</f>
        <v>1.98</v>
      </c>
      <c r="I196" s="22">
        <f>Data!F137</f>
        <v>1.9890000000000001</v>
      </c>
      <c r="J196" s="22">
        <f>Data!G137</f>
        <v>2.012</v>
      </c>
      <c r="K196" s="22"/>
      <c r="L196" s="232"/>
      <c r="M196" s="130" t="s">
        <v>18</v>
      </c>
      <c r="N196" s="15">
        <f t="shared" si="799"/>
        <v>1.7402394586153049</v>
      </c>
      <c r="O196" s="15">
        <f t="shared" si="799"/>
        <v>1.7490239458615309</v>
      </c>
      <c r="P196" s="15">
        <f t="shared" si="799"/>
        <v>1.7714731910463304</v>
      </c>
      <c r="Q196" s="15">
        <f t="shared" si="799"/>
        <v>1.7402394586153049</v>
      </c>
      <c r="R196" s="15">
        <f t="shared" si="799"/>
        <v>1.7490239458615309</v>
      </c>
      <c r="S196" s="15">
        <f t="shared" si="799"/>
        <v>1.7714731910463304</v>
      </c>
      <c r="T196" s="20">
        <f t="shared" si="705"/>
        <v>1.7535788651743889</v>
      </c>
      <c r="U196" s="40">
        <f t="shared" si="706"/>
        <v>1.4406858862450397E-2</v>
      </c>
      <c r="V196" s="109"/>
      <c r="W196" s="110">
        <v>50</v>
      </c>
      <c r="X196" s="20">
        <f>IFERROR(($N$16-N196)/W196,"")</f>
        <v>-1.9521082769391464E-5</v>
      </c>
      <c r="Y196" s="15">
        <f>IFERROR(($O$16-O196)/W196,"")</f>
        <v>2.1473191046330164E-4</v>
      </c>
      <c r="Z196" s="15">
        <f>IFERROR(($P$16-P196)/W196,"")</f>
        <v>2.9281624154086749E-4</v>
      </c>
      <c r="AA196" s="15">
        <f>IFERROR(($Q$16-Q196)/W196,"")</f>
        <v>-1.9521082769391464E-5</v>
      </c>
      <c r="AB196" s="15">
        <f>IFERROR(($R$16-R196)/W196,"")</f>
        <v>2.1473191046330164E-4</v>
      </c>
      <c r="AC196" s="15">
        <f>IFERROR(($S$16-S196)/W196,"")</f>
        <v>2.9281624154086749E-4</v>
      </c>
      <c r="AD196" s="20">
        <f>IFERROR(AVERAGE(X196:AC196), "")</f>
        <v>1.626756897449259E-4</v>
      </c>
      <c r="AE196" s="40">
        <f t="shared" ref="AE196:AE201" si="811">IFERROR(STDEV(X196:AC196), "")</f>
        <v>1.4538511237656532E-4</v>
      </c>
      <c r="AG196" s="229"/>
      <c r="AH196" s="77">
        <f>'Sample ID'!$F$8</f>
        <v>1</v>
      </c>
      <c r="AI196" s="77">
        <f>IFERROR((X196*$AH$34),"")</f>
        <v>-1.9521082769391464E-5</v>
      </c>
      <c r="AJ196" s="77">
        <f t="shared" ref="AJ196" si="812">IFERROR((Y196*$AH$34),"")</f>
        <v>2.1473191046330164E-4</v>
      </c>
      <c r="AK196" s="77">
        <f t="shared" ref="AK196" si="813">IFERROR((Z196*$AH$34),"")</f>
        <v>2.9281624154086749E-4</v>
      </c>
      <c r="AL196" s="77">
        <f t="shared" ref="AL196" si="814">IFERROR((AA196*$AH$34),"")</f>
        <v>-1.9521082769391464E-5</v>
      </c>
      <c r="AM196" s="77">
        <f t="shared" ref="AM196" si="815">IFERROR((AB196*$AH$34),"")</f>
        <v>2.1473191046330164E-4</v>
      </c>
      <c r="AN196" s="77">
        <f t="shared" ref="AN196" si="816">IFERROR((AC196*$AH$34),"")</f>
        <v>2.9281624154086749E-4</v>
      </c>
      <c r="AO196" s="40">
        <f t="shared" si="810"/>
        <v>1.626756897449259E-4</v>
      </c>
      <c r="AP196" s="40">
        <f t="shared" ref="AP196:AP201" si="817">IFERROR(STDEV(AI196:AN196), "")</f>
        <v>1.4538511237656532E-4</v>
      </c>
      <c r="AQ196" s="15"/>
      <c r="AR196" s="15"/>
    </row>
    <row r="197" spans="3:44">
      <c r="C197" s="232"/>
      <c r="D197" s="21" t="s">
        <v>19</v>
      </c>
      <c r="E197" s="22">
        <f>Data!B138</f>
        <v>2.2650000000000001</v>
      </c>
      <c r="F197" s="22">
        <f>Data!C138</f>
        <v>2.274</v>
      </c>
      <c r="G197" s="22">
        <f>Data!D138</f>
        <v>2.27</v>
      </c>
      <c r="H197" s="22">
        <f>Data!E138</f>
        <v>2.2650000000000001</v>
      </c>
      <c r="I197" s="22">
        <f>Data!F138</f>
        <v>2.274</v>
      </c>
      <c r="J197" s="22">
        <f>Data!G138</f>
        <v>2.27</v>
      </c>
      <c r="K197" s="22"/>
      <c r="L197" s="232"/>
      <c r="M197" s="130" t="s">
        <v>19</v>
      </c>
      <c r="N197" s="15">
        <f t="shared" si="799"/>
        <v>2.0184148880791262</v>
      </c>
      <c r="O197" s="15">
        <f t="shared" si="799"/>
        <v>2.0271993753253517</v>
      </c>
      <c r="P197" s="15">
        <f t="shared" si="799"/>
        <v>2.0232951587714738</v>
      </c>
      <c r="Q197" s="15">
        <f t="shared" si="799"/>
        <v>2.0184148880791262</v>
      </c>
      <c r="R197" s="15">
        <f t="shared" si="799"/>
        <v>2.0271993753253517</v>
      </c>
      <c r="S197" s="15">
        <f t="shared" si="799"/>
        <v>2.0232951587714738</v>
      </c>
      <c r="T197" s="20">
        <f t="shared" si="705"/>
        <v>2.0229698073919837</v>
      </c>
      <c r="U197" s="40">
        <f t="shared" si="706"/>
        <v>3.936617246812454E-3</v>
      </c>
      <c r="V197" s="109"/>
      <c r="W197" s="110">
        <v>50</v>
      </c>
      <c r="X197" s="20">
        <f>IFERROR(($N$17-N197)/W197,"")</f>
        <v>-4.1970327954190621E-3</v>
      </c>
      <c r="Y197" s="15">
        <f>IFERROR(($O$17-O197)/W197,"")</f>
        <v>-4.4312857886517378E-3</v>
      </c>
      <c r="Z197" s="15">
        <f>IFERROR(($P$17-P197)/W197,"")</f>
        <v>-4.1970327954190534E-3</v>
      </c>
      <c r="AA197" s="15">
        <f>IFERROR(($Q$17-Q197)/W197,"")</f>
        <v>-4.1970327954190621E-3</v>
      </c>
      <c r="AB197" s="15">
        <f>IFERROR(($R$17-R197)/W197,"")</f>
        <v>-4.4312857886517378E-3</v>
      </c>
      <c r="AC197" s="15">
        <f>IFERROR(($S$17-S197)/W197,"")</f>
        <v>-4.1970327954190534E-3</v>
      </c>
      <c r="AD197" s="20">
        <f t="shared" ref="AD197:AD201" si="818">IFERROR(AVERAGE(X197:AC197), "")</f>
        <v>-4.275117126496618E-3</v>
      </c>
      <c r="AE197" s="40">
        <f t="shared" si="811"/>
        <v>1.2096772554525447E-4</v>
      </c>
      <c r="AG197" s="229"/>
      <c r="AH197" s="77">
        <f>'Sample ID'!$F$9</f>
        <v>1</v>
      </c>
      <c r="AI197" s="77">
        <f>IFERROR((X197*$AH$35),"")</f>
        <v>-4.1970327954190621E-3</v>
      </c>
      <c r="AJ197" s="77">
        <f t="shared" ref="AJ197" si="819">IFERROR((Y197*$AH$35),"")</f>
        <v>-4.4312857886517378E-3</v>
      </c>
      <c r="AK197" s="77">
        <f t="shared" ref="AK197" si="820">IFERROR((Z197*$AH$35),"")</f>
        <v>-4.1970327954190534E-3</v>
      </c>
      <c r="AL197" s="77">
        <f t="shared" ref="AL197" si="821">IFERROR((AA197*$AH$35),"")</f>
        <v>-4.1970327954190621E-3</v>
      </c>
      <c r="AM197" s="77">
        <f t="shared" ref="AM197" si="822">IFERROR((AB197*$AH$35),"")</f>
        <v>-4.4312857886517378E-3</v>
      </c>
      <c r="AN197" s="77">
        <f t="shared" ref="AN197" si="823">IFERROR((AC197*$AH$35),"")</f>
        <v>-4.1970327954190534E-3</v>
      </c>
      <c r="AO197" s="40">
        <f t="shared" si="810"/>
        <v>-4.275117126496618E-3</v>
      </c>
      <c r="AP197" s="40">
        <f t="shared" si="817"/>
        <v>1.2096772554525447E-4</v>
      </c>
      <c r="AQ197" s="15"/>
      <c r="AR197" s="15"/>
    </row>
    <row r="198" spans="3:44">
      <c r="C198" s="232"/>
      <c r="D198" s="21" t="s">
        <v>20</v>
      </c>
      <c r="E198" s="22">
        <f>Data!B139</f>
        <v>2.1349999999999998</v>
      </c>
      <c r="F198" s="22">
        <f>Data!C139</f>
        <v>2.1869999999999998</v>
      </c>
      <c r="G198" s="22">
        <f>Data!D139</f>
        <v>2.1840000000000002</v>
      </c>
      <c r="H198" s="22">
        <f>Data!E139</f>
        <v>2.1349999999999998</v>
      </c>
      <c r="I198" s="22">
        <f>Data!F139</f>
        <v>2.1869999999999998</v>
      </c>
      <c r="J198" s="22">
        <f>Data!G139</f>
        <v>2.1840000000000002</v>
      </c>
      <c r="K198" s="22"/>
      <c r="L198" s="232"/>
      <c r="M198" s="130" t="s">
        <v>20</v>
      </c>
      <c r="N198" s="15">
        <f t="shared" si="799"/>
        <v>1.8915278500780845</v>
      </c>
      <c r="O198" s="15">
        <f t="shared" si="799"/>
        <v>1.942282665278501</v>
      </c>
      <c r="P198" s="15">
        <f t="shared" si="799"/>
        <v>1.9393545028630927</v>
      </c>
      <c r="Q198" s="15">
        <f t="shared" si="799"/>
        <v>1.8915278500780845</v>
      </c>
      <c r="R198" s="15">
        <f t="shared" si="799"/>
        <v>1.942282665278501</v>
      </c>
      <c r="S198" s="15">
        <f t="shared" si="799"/>
        <v>1.9393545028630927</v>
      </c>
      <c r="T198" s="20">
        <f t="shared" si="705"/>
        <v>1.9243883394065595</v>
      </c>
      <c r="U198" s="40">
        <f t="shared" si="706"/>
        <v>2.5487288642974348E-2</v>
      </c>
      <c r="V198" s="109"/>
      <c r="W198" s="110">
        <v>50</v>
      </c>
      <c r="X198" s="20">
        <f>IFERROR(($N$18-N198)/W198,"")</f>
        <v>-8.5892764185319321E-4</v>
      </c>
      <c r="Y198" s="15">
        <f>IFERROR(($O$18-O198)/W198,"")</f>
        <v>-2.3425299323269044E-3</v>
      </c>
      <c r="Z198" s="15">
        <f>IFERROR(($P$18-P198)/W198,"")</f>
        <v>-1.8545028630921445E-3</v>
      </c>
      <c r="AA198" s="15">
        <f>IFERROR(($Q$18-Q198)/W198,"")</f>
        <v>-8.5892764185319321E-4</v>
      </c>
      <c r="AB198" s="15">
        <f>IFERROR(($R$18-R198)/W198,"")</f>
        <v>-2.3425299323269044E-3</v>
      </c>
      <c r="AC198" s="15">
        <f>IFERROR(($S$18-S198)/W198,"")</f>
        <v>-1.8545028630921445E-3</v>
      </c>
      <c r="AD198" s="20">
        <f t="shared" si="818"/>
        <v>-1.6853201457574139E-3</v>
      </c>
      <c r="AE198" s="40">
        <f t="shared" si="811"/>
        <v>6.7630527601566614E-4</v>
      </c>
      <c r="AG198" s="229"/>
      <c r="AH198" s="77">
        <f>'Sample ID'!$F$10</f>
        <v>1</v>
      </c>
      <c r="AI198" s="77">
        <f>IFERROR((X198*$AH$36),"")</f>
        <v>-8.5892764185319321E-4</v>
      </c>
      <c r="AJ198" s="77">
        <f t="shared" ref="AJ198" si="824">IFERROR((Y198*$AH$36),"")</f>
        <v>-2.3425299323269044E-3</v>
      </c>
      <c r="AK198" s="77">
        <f t="shared" ref="AK198" si="825">IFERROR((Z198*$AH$36),"")</f>
        <v>-1.8545028630921445E-3</v>
      </c>
      <c r="AL198" s="77">
        <f t="shared" ref="AL198" si="826">IFERROR((AA198*$AH$36),"")</f>
        <v>-8.5892764185319321E-4</v>
      </c>
      <c r="AM198" s="77">
        <f t="shared" ref="AM198" si="827">IFERROR((AB198*$AH$36),"")</f>
        <v>-2.3425299323269044E-3</v>
      </c>
      <c r="AN198" s="77">
        <f t="shared" ref="AN198" si="828">IFERROR((AC198*$AH$36),"")</f>
        <v>-1.8545028630921445E-3</v>
      </c>
      <c r="AO198" s="40">
        <f t="shared" si="810"/>
        <v>-1.6853201457574139E-3</v>
      </c>
      <c r="AP198" s="40">
        <f t="shared" si="817"/>
        <v>6.7630527601566614E-4</v>
      </c>
      <c r="AQ198" s="15"/>
      <c r="AR198" s="15"/>
    </row>
    <row r="199" spans="3:44">
      <c r="C199" s="232"/>
      <c r="D199" s="21" t="s">
        <v>21</v>
      </c>
      <c r="E199" s="22">
        <f>Data!B140</f>
        <v>1.325</v>
      </c>
      <c r="F199" s="22">
        <f>Data!C140</f>
        <v>1.345</v>
      </c>
      <c r="G199" s="22">
        <f>Data!D140</f>
        <v>1.294</v>
      </c>
      <c r="H199" s="22">
        <f>Data!E140</f>
        <v>1.325</v>
      </c>
      <c r="I199" s="22">
        <f>Data!F140</f>
        <v>1.345</v>
      </c>
      <c r="J199" s="22">
        <f>Data!G140</f>
        <v>1.294</v>
      </c>
      <c r="K199" s="22"/>
      <c r="L199" s="232"/>
      <c r="M199" s="130" t="s">
        <v>21</v>
      </c>
      <c r="N199" s="15">
        <f t="shared" si="799"/>
        <v>1.1009239979177514</v>
      </c>
      <c r="O199" s="15">
        <f t="shared" si="799"/>
        <v>1.1204450806871422</v>
      </c>
      <c r="P199" s="15">
        <f t="shared" si="799"/>
        <v>1.0706663196251955</v>
      </c>
      <c r="Q199" s="15">
        <f t="shared" si="799"/>
        <v>1.1009239979177514</v>
      </c>
      <c r="R199" s="15">
        <f t="shared" si="799"/>
        <v>1.1204450806871422</v>
      </c>
      <c r="S199" s="15">
        <f t="shared" si="799"/>
        <v>1.0706663196251955</v>
      </c>
      <c r="T199" s="20">
        <f t="shared" si="705"/>
        <v>1.0973451327433632</v>
      </c>
      <c r="U199" s="40">
        <f t="shared" si="706"/>
        <v>2.2433679505028722E-2</v>
      </c>
      <c r="V199" s="109"/>
      <c r="W199" s="110">
        <v>50</v>
      </c>
      <c r="X199" s="20">
        <f>IFERROR(($N$19-N199)/W199,"")</f>
        <v>1.1166059344091624E-2</v>
      </c>
      <c r="Y199" s="15">
        <f>IFERROR(($O$19-O199)/W199,"")</f>
        <v>1.1497917751171269E-2</v>
      </c>
      <c r="Z199" s="15">
        <f>IFERROR(($P$19-P199)/W199,"")</f>
        <v>1.1732170744403959E-2</v>
      </c>
      <c r="AA199" s="15">
        <f>IFERROR(($Q$19-Q199)/W199,"")</f>
        <v>1.1166059344091624E-2</v>
      </c>
      <c r="AB199" s="15">
        <f>IFERROR(($R$19-R199)/W199,"")</f>
        <v>1.1497917751171269E-2</v>
      </c>
      <c r="AC199" s="15">
        <f>IFERROR(($S$19-S199)/W199,"")</f>
        <v>1.1732170744403959E-2</v>
      </c>
      <c r="AD199" s="20">
        <f t="shared" si="818"/>
        <v>1.1465382613222283E-2</v>
      </c>
      <c r="AE199" s="40">
        <f t="shared" si="811"/>
        <v>2.5442394665898529E-4</v>
      </c>
      <c r="AG199" s="229"/>
      <c r="AH199" s="77">
        <f>'Sample ID'!$F$11</f>
        <v>0</v>
      </c>
      <c r="AI199" s="77">
        <f>IFERROR((X199*$AH$37),"")</f>
        <v>0</v>
      </c>
      <c r="AJ199" s="77">
        <f t="shared" ref="AJ199" si="829">IFERROR((Y199*$AH$37),"")</f>
        <v>0</v>
      </c>
      <c r="AK199" s="77">
        <f t="shared" ref="AK199" si="830">IFERROR((Z199*$AH$37),"")</f>
        <v>0</v>
      </c>
      <c r="AL199" s="77">
        <f t="shared" ref="AL199" si="831">IFERROR((AA199*$AH$37),"")</f>
        <v>0</v>
      </c>
      <c r="AM199" s="77">
        <f t="shared" ref="AM199" si="832">IFERROR((AB199*$AH$37),"")</f>
        <v>0</v>
      </c>
      <c r="AN199" s="77">
        <f t="shared" ref="AN199" si="833">IFERROR((AC199*$AH$37),"")</f>
        <v>0</v>
      </c>
      <c r="AO199" s="40">
        <f t="shared" si="810"/>
        <v>0</v>
      </c>
      <c r="AP199" s="40">
        <f t="shared" si="817"/>
        <v>0</v>
      </c>
      <c r="AQ199" s="15"/>
      <c r="AR199" s="15"/>
    </row>
    <row r="200" spans="3:44">
      <c r="C200" s="232"/>
      <c r="D200" s="21" t="s">
        <v>22</v>
      </c>
      <c r="E200" s="22">
        <f>Data!B141</f>
        <v>1.6910000000000001</v>
      </c>
      <c r="F200" s="22">
        <f>Data!C141</f>
        <v>1.6859999999999999</v>
      </c>
      <c r="G200" s="22">
        <f>Data!D141</f>
        <v>1.7130000000000001</v>
      </c>
      <c r="H200" s="22">
        <f>Data!E141</f>
        <v>1.6910000000000001</v>
      </c>
      <c r="I200" s="22">
        <f>Data!F141</f>
        <v>1.6859999999999999</v>
      </c>
      <c r="J200" s="22">
        <f>Data!G141</f>
        <v>1.7130000000000001</v>
      </c>
      <c r="K200" s="22"/>
      <c r="L200" s="232"/>
      <c r="M200" s="130" t="s">
        <v>22</v>
      </c>
      <c r="N200" s="15">
        <f t="shared" si="799"/>
        <v>1.4581598125976059</v>
      </c>
      <c r="O200" s="15">
        <f t="shared" si="799"/>
        <v>1.453279541905258</v>
      </c>
      <c r="P200" s="15">
        <f t="shared" si="799"/>
        <v>1.4796330036439358</v>
      </c>
      <c r="Q200" s="15">
        <f t="shared" si="799"/>
        <v>1.4581598125976059</v>
      </c>
      <c r="R200" s="15">
        <f t="shared" si="799"/>
        <v>1.453279541905258</v>
      </c>
      <c r="S200" s="15">
        <f t="shared" si="799"/>
        <v>1.4796330036439358</v>
      </c>
      <c r="T200" s="20">
        <f t="shared" si="705"/>
        <v>1.4636907860489332</v>
      </c>
      <c r="U200" s="40">
        <f t="shared" si="706"/>
        <v>1.2540175019271614E-2</v>
      </c>
      <c r="V200" s="109"/>
      <c r="W200" s="110">
        <v>50</v>
      </c>
      <c r="X200" s="20">
        <f>IFERROR(($N$20-N200)/W200,"")</f>
        <v>4.2165538781884452E-3</v>
      </c>
      <c r="Y200" s="15">
        <f>IFERROR(($O$20-O200)/W200,"")</f>
        <v>4.2165538781884452E-3</v>
      </c>
      <c r="Z200" s="15">
        <f>IFERROR(($P$20-P200)/W200,"")</f>
        <v>3.9237376366475776E-3</v>
      </c>
      <c r="AA200" s="15">
        <f>IFERROR(($Q$20-Q200)/W200,"")</f>
        <v>4.2165538781884452E-3</v>
      </c>
      <c r="AB200" s="15">
        <f>IFERROR(($R$20-R200)/W200,"")</f>
        <v>4.2165538781884452E-3</v>
      </c>
      <c r="AC200" s="15">
        <f>IFERROR(($S$20-S200)/W200,"")</f>
        <v>3.9237376366475776E-3</v>
      </c>
      <c r="AD200" s="20">
        <f t="shared" si="818"/>
        <v>4.1189484643414896E-3</v>
      </c>
      <c r="AE200" s="40">
        <f t="shared" si="811"/>
        <v>1.5120965693157714E-4</v>
      </c>
      <c r="AG200" s="229"/>
      <c r="AH200" s="77">
        <f>'Sample ID'!$F$12</f>
        <v>0</v>
      </c>
      <c r="AI200" s="77">
        <f>IFERROR((X200*$AH$38),"")</f>
        <v>0</v>
      </c>
      <c r="AJ200" s="77">
        <f t="shared" ref="AJ200" si="834">IFERROR((Y200*$AH$38),"")</f>
        <v>0</v>
      </c>
      <c r="AK200" s="77">
        <f t="shared" ref="AK200" si="835">IFERROR((Z200*$AH$38),"")</f>
        <v>0</v>
      </c>
      <c r="AL200" s="77">
        <f t="shared" ref="AL200" si="836">IFERROR((AA200*$AH$38),"")</f>
        <v>0</v>
      </c>
      <c r="AM200" s="77">
        <f t="shared" ref="AM200" si="837">IFERROR((AB200*$AH$38),"")</f>
        <v>0</v>
      </c>
      <c r="AN200" s="77">
        <f t="shared" ref="AN200" si="838">IFERROR((AC200*$AH$38),"")</f>
        <v>0</v>
      </c>
      <c r="AO200" s="40">
        <f t="shared" si="810"/>
        <v>0</v>
      </c>
      <c r="AP200" s="40">
        <f t="shared" si="817"/>
        <v>0</v>
      </c>
      <c r="AQ200" s="15"/>
      <c r="AR200" s="15"/>
    </row>
    <row r="201" spans="3:44">
      <c r="C201" s="232"/>
      <c r="D201" s="21" t="s">
        <v>23</v>
      </c>
      <c r="E201" s="22">
        <f>Data!B142</f>
        <v>0</v>
      </c>
      <c r="F201" s="22">
        <f>Data!C142</f>
        <v>0</v>
      </c>
      <c r="G201" s="22">
        <f>Data!D142</f>
        <v>0</v>
      </c>
      <c r="H201" s="22">
        <f>Data!E142</f>
        <v>0</v>
      </c>
      <c r="I201" s="22">
        <f>Data!F142</f>
        <v>0</v>
      </c>
      <c r="J201" s="22">
        <f>Data!G142</f>
        <v>0</v>
      </c>
      <c r="K201" s="22"/>
      <c r="L201" s="232"/>
      <c r="M201" s="130" t="s">
        <v>23</v>
      </c>
      <c r="N201" s="15" t="str">
        <f t="shared" si="799"/>
        <v xml:space="preserve"> </v>
      </c>
      <c r="O201" s="15" t="str">
        <f t="shared" si="799"/>
        <v xml:space="preserve"> </v>
      </c>
      <c r="P201" s="15" t="str">
        <f t="shared" si="799"/>
        <v xml:space="preserve"> </v>
      </c>
      <c r="Q201" s="15" t="str">
        <f t="shared" si="799"/>
        <v xml:space="preserve"> </v>
      </c>
      <c r="R201" s="15" t="str">
        <f t="shared" si="799"/>
        <v xml:space="preserve"> </v>
      </c>
      <c r="S201" s="15" t="str">
        <f t="shared" si="799"/>
        <v xml:space="preserve"> </v>
      </c>
      <c r="T201" s="20" t="str">
        <f t="shared" si="705"/>
        <v/>
      </c>
      <c r="U201" s="40" t="str">
        <f t="shared" si="706"/>
        <v/>
      </c>
      <c r="V201" s="109"/>
      <c r="W201" s="110">
        <v>50</v>
      </c>
      <c r="X201" s="20" t="str">
        <f>IFERROR(($N$21-N201)/W201,"")</f>
        <v/>
      </c>
      <c r="Y201" s="15" t="str">
        <f>IFERROR(($O$21-O201)/W201,"")</f>
        <v/>
      </c>
      <c r="Z201" s="15" t="str">
        <f>IFERROR(($P$21-P201)/W201,"")</f>
        <v/>
      </c>
      <c r="AA201" s="15" t="str">
        <f>IFERROR(($Q$21-Q201)/W201,"")</f>
        <v/>
      </c>
      <c r="AB201" s="15" t="str">
        <f>IFERROR(($R$21-R201)/W201,"")</f>
        <v/>
      </c>
      <c r="AC201" s="15" t="str">
        <f>IFERROR(($S$21-S201)/W201,"")</f>
        <v/>
      </c>
      <c r="AD201" s="20" t="str">
        <f t="shared" si="818"/>
        <v/>
      </c>
      <c r="AE201" s="40" t="str">
        <f t="shared" si="811"/>
        <v/>
      </c>
      <c r="AG201" s="229"/>
      <c r="AH201" s="77">
        <f>'Sample ID'!$F$13</f>
        <v>0</v>
      </c>
      <c r="AI201" s="77" t="str">
        <f>IFERROR((X201*$AH$39),"")</f>
        <v/>
      </c>
      <c r="AJ201" s="77" t="str">
        <f t="shared" ref="AJ201" si="839">IFERROR((Y201*$AH$39),"")</f>
        <v/>
      </c>
      <c r="AK201" s="77" t="str">
        <f t="shared" ref="AK201" si="840">IFERROR((Z201*$AH$39),"")</f>
        <v/>
      </c>
      <c r="AL201" s="77" t="str">
        <f t="shared" ref="AL201" si="841">IFERROR((AA201*$AH$39),"")</f>
        <v/>
      </c>
      <c r="AM201" s="77" t="str">
        <f t="shared" ref="AM201" si="842">IFERROR((AB201*$AH$39),"")</f>
        <v/>
      </c>
      <c r="AN201" s="77" t="str">
        <f t="shared" ref="AN201" si="843">IFERROR((AC201*$AH$39),"")</f>
        <v/>
      </c>
      <c r="AO201" s="40" t="str">
        <f t="shared" si="810"/>
        <v/>
      </c>
      <c r="AP201" s="40" t="str">
        <f t="shared" si="817"/>
        <v/>
      </c>
      <c r="AQ201" s="15"/>
      <c r="AR201" s="15"/>
    </row>
    <row r="202" spans="3:44">
      <c r="C202" s="232"/>
      <c r="D202" s="39"/>
      <c r="E202" s="56">
        <v>7</v>
      </c>
      <c r="F202" s="56">
        <v>8</v>
      </c>
      <c r="G202" s="57">
        <v>9</v>
      </c>
      <c r="H202" s="56">
        <v>10</v>
      </c>
      <c r="I202" s="56">
        <v>11</v>
      </c>
      <c r="J202" s="57">
        <v>12</v>
      </c>
      <c r="K202" s="27"/>
      <c r="L202" s="232"/>
      <c r="M202" s="38"/>
      <c r="N202" s="59">
        <v>7</v>
      </c>
      <c r="O202" s="38">
        <v>8</v>
      </c>
      <c r="P202" s="38">
        <v>9</v>
      </c>
      <c r="Q202" s="38">
        <v>10</v>
      </c>
      <c r="R202" s="38">
        <v>11</v>
      </c>
      <c r="S202" s="50">
        <v>12</v>
      </c>
      <c r="T202" s="38" t="s">
        <v>24</v>
      </c>
      <c r="U202" s="51" t="s">
        <v>3</v>
      </c>
      <c r="V202" s="109"/>
      <c r="W202" s="98"/>
      <c r="X202" s="38">
        <v>7</v>
      </c>
      <c r="Y202" s="38">
        <v>8</v>
      </c>
      <c r="Z202" s="38">
        <v>9</v>
      </c>
      <c r="AA202" s="38">
        <v>10</v>
      </c>
      <c r="AB202" s="38">
        <v>11</v>
      </c>
      <c r="AC202" s="50">
        <v>12</v>
      </c>
      <c r="AD202" s="50" t="s">
        <v>49</v>
      </c>
      <c r="AE202" s="51" t="s">
        <v>3</v>
      </c>
      <c r="AG202" s="229"/>
      <c r="AH202" s="119"/>
      <c r="AI202" s="119"/>
      <c r="AJ202" s="119"/>
      <c r="AK202" s="119"/>
      <c r="AL202" s="119"/>
      <c r="AM202" s="119"/>
      <c r="AN202" s="119"/>
      <c r="AO202" s="100" t="str">
        <f>IFERROR(#REF!/(#REF!/W202), " ")</f>
        <v xml:space="preserve"> </v>
      </c>
      <c r="AP202" s="51" t="s">
        <v>3</v>
      </c>
      <c r="AQ202" s="15"/>
      <c r="AR202" s="15"/>
    </row>
    <row r="203" spans="3:44">
      <c r="C203" s="232"/>
      <c r="D203" s="21" t="s">
        <v>16</v>
      </c>
      <c r="E203" s="22">
        <f>Data!H135</f>
        <v>0</v>
      </c>
      <c r="F203" s="22">
        <f>Data!I135</f>
        <v>0</v>
      </c>
      <c r="G203" s="22">
        <f>Data!J135</f>
        <v>0</v>
      </c>
      <c r="H203" s="22">
        <f>Data!K135</f>
        <v>0</v>
      </c>
      <c r="I203" s="22">
        <f>Data!L135</f>
        <v>0</v>
      </c>
      <c r="J203" s="22">
        <f>Data!M135</f>
        <v>0</v>
      </c>
      <c r="K203" s="22"/>
      <c r="L203" s="232"/>
      <c r="M203" s="130" t="s">
        <v>16</v>
      </c>
      <c r="N203" s="15" t="str">
        <f t="shared" ref="N203:S210" si="844">IF(((E203-$P$11)/$P$10)&gt;0,((E203-$P$11)/$P$10)," ")</f>
        <v xml:space="preserve"> </v>
      </c>
      <c r="O203" s="15" t="str">
        <f t="shared" si="844"/>
        <v xml:space="preserve"> </v>
      </c>
      <c r="P203" s="15" t="str">
        <f t="shared" si="844"/>
        <v xml:space="preserve"> </v>
      </c>
      <c r="Q203" s="15" t="str">
        <f t="shared" si="844"/>
        <v xml:space="preserve"> </v>
      </c>
      <c r="R203" s="15" t="str">
        <f t="shared" si="844"/>
        <v xml:space="preserve"> </v>
      </c>
      <c r="S203" s="15" t="str">
        <f t="shared" si="844"/>
        <v xml:space="preserve"> </v>
      </c>
      <c r="T203" s="20" t="str">
        <f t="shared" si="705"/>
        <v/>
      </c>
      <c r="U203" s="40" t="str">
        <f t="shared" si="706"/>
        <v/>
      </c>
      <c r="V203" s="109"/>
      <c r="W203" s="110">
        <v>50</v>
      </c>
      <c r="X203" s="20" t="str">
        <f>IFERROR(($N$23-N203)/W203,"")</f>
        <v/>
      </c>
      <c r="Y203" s="15" t="str">
        <f>IFERROR(($O$23-O203)/W203,"")</f>
        <v/>
      </c>
      <c r="Z203" s="15" t="str">
        <f>IFERROR(($P$23-P203)/W203,"")</f>
        <v/>
      </c>
      <c r="AA203" s="15" t="str">
        <f>IFERROR(($Q$23-Q203)/W203,"")</f>
        <v/>
      </c>
      <c r="AB203" s="15" t="str">
        <f>IFERROR(($R$23-R203)/W203,"")</f>
        <v/>
      </c>
      <c r="AC203" s="15" t="str">
        <f>IFERROR(($S$23-S203)/W203,"")</f>
        <v/>
      </c>
      <c r="AD203" s="20" t="str">
        <f t="shared" ref="AD203:AD204" si="845">IFERROR(AVERAGE(X203:AC203), "")</f>
        <v/>
      </c>
      <c r="AE203" s="40" t="str">
        <f t="shared" ref="AE203:AE204" si="846">IFERROR(STDEV(X203:AC203), "")</f>
        <v/>
      </c>
      <c r="AG203" s="229"/>
      <c r="AH203" s="77">
        <f>'Sample ID'!$F$14</f>
        <v>0</v>
      </c>
      <c r="AI203" s="77" t="str">
        <f>IFERROR((X203*$AH$41),"")</f>
        <v/>
      </c>
      <c r="AJ203" s="77" t="str">
        <f t="shared" ref="AJ203" si="847">IFERROR((Y203*$AH$41),"")</f>
        <v/>
      </c>
      <c r="AK203" s="77" t="str">
        <f t="shared" ref="AK203" si="848">IFERROR((Z203*$AH$41),"")</f>
        <v/>
      </c>
      <c r="AL203" s="77" t="str">
        <f t="shared" ref="AL203" si="849">IFERROR((AA203*$AH$41),"")</f>
        <v/>
      </c>
      <c r="AM203" s="77" t="str">
        <f t="shared" ref="AM203" si="850">IFERROR((AB203*$AH$41),"")</f>
        <v/>
      </c>
      <c r="AN203" s="77" t="str">
        <f t="shared" ref="AN203" si="851">IFERROR((AC203*$AH$41),"")</f>
        <v/>
      </c>
      <c r="AO203" s="40" t="str">
        <f>IFERROR(AVERAGE(AI203:AN203),"")</f>
        <v/>
      </c>
      <c r="AP203" s="40" t="str">
        <f t="shared" ref="AP203:AP204" si="852">IFERROR(STDEV(AI203:AN203), "")</f>
        <v/>
      </c>
      <c r="AQ203" s="15"/>
      <c r="AR203" s="15"/>
    </row>
    <row r="204" spans="3:44">
      <c r="C204" s="232"/>
      <c r="D204" s="21" t="s">
        <v>17</v>
      </c>
      <c r="E204" s="22">
        <f>Data!H136</f>
        <v>0</v>
      </c>
      <c r="F204" s="22">
        <f>Data!I136</f>
        <v>0</v>
      </c>
      <c r="G204" s="22">
        <f>Data!J136</f>
        <v>0</v>
      </c>
      <c r="H204" s="22">
        <f>Data!K136</f>
        <v>0</v>
      </c>
      <c r="I204" s="22">
        <f>Data!L136</f>
        <v>0</v>
      </c>
      <c r="J204" s="22">
        <f>Data!M136</f>
        <v>0</v>
      </c>
      <c r="K204" s="22"/>
      <c r="L204" s="232"/>
      <c r="M204" s="130" t="s">
        <v>17</v>
      </c>
      <c r="N204" s="15" t="str">
        <f t="shared" si="844"/>
        <v xml:space="preserve"> </v>
      </c>
      <c r="O204" s="15" t="str">
        <f t="shared" si="844"/>
        <v xml:space="preserve"> </v>
      </c>
      <c r="P204" s="15" t="str">
        <f t="shared" si="844"/>
        <v xml:space="preserve"> </v>
      </c>
      <c r="Q204" s="15" t="str">
        <f t="shared" si="844"/>
        <v xml:space="preserve"> </v>
      </c>
      <c r="R204" s="15" t="str">
        <f t="shared" si="844"/>
        <v xml:space="preserve"> </v>
      </c>
      <c r="S204" s="15" t="str">
        <f t="shared" si="844"/>
        <v xml:space="preserve"> </v>
      </c>
      <c r="T204" s="20" t="str">
        <f t="shared" si="705"/>
        <v/>
      </c>
      <c r="U204" s="40" t="str">
        <f t="shared" si="706"/>
        <v/>
      </c>
      <c r="V204" s="109"/>
      <c r="W204" s="110">
        <v>50</v>
      </c>
      <c r="X204" s="20" t="str">
        <f>IFERROR(($N$24-N204)/W204,"")</f>
        <v/>
      </c>
      <c r="Y204" s="15" t="str">
        <f>IFERROR(($O$24-O204)/W204,"")</f>
        <v/>
      </c>
      <c r="Z204" s="15" t="str">
        <f>IFERROR(($P$24-P204)/W204,"")</f>
        <v/>
      </c>
      <c r="AA204" s="15" t="str">
        <f>IFERROR(($Q$24-Q204)/W204,"")</f>
        <v/>
      </c>
      <c r="AB204" s="15" t="str">
        <f>IFERROR(($R$24-R204)/W204,"")</f>
        <v/>
      </c>
      <c r="AC204" s="15" t="str">
        <f>IFERROR(($S$24-S204)/W204,"")</f>
        <v/>
      </c>
      <c r="AD204" s="20" t="str">
        <f t="shared" si="845"/>
        <v/>
      </c>
      <c r="AE204" s="40" t="str">
        <f t="shared" si="846"/>
        <v/>
      </c>
      <c r="AG204" s="229"/>
      <c r="AH204" s="77">
        <f>'Sample ID'!$F$15</f>
        <v>0</v>
      </c>
      <c r="AI204" s="77" t="str">
        <f>IFERROR((X204*$AH$42),"")</f>
        <v/>
      </c>
      <c r="AJ204" s="77" t="str">
        <f t="shared" ref="AJ204" si="853">IFERROR((Y204*$AH$42),"")</f>
        <v/>
      </c>
      <c r="AK204" s="77" t="str">
        <f t="shared" ref="AK204" si="854">IFERROR((Z204*$AH$42),"")</f>
        <v/>
      </c>
      <c r="AL204" s="77" t="str">
        <f t="shared" ref="AL204" si="855">IFERROR((AA204*$AH$42),"")</f>
        <v/>
      </c>
      <c r="AM204" s="77" t="str">
        <f t="shared" ref="AM204" si="856">IFERROR((AB204*$AH$42),"")</f>
        <v/>
      </c>
      <c r="AN204" s="77" t="str">
        <f t="shared" ref="AN204" si="857">IFERROR((AC204*$AH$42),"")</f>
        <v/>
      </c>
      <c r="AO204" s="40" t="str">
        <f t="shared" ref="AO204:AO210" si="858">IFERROR(AVERAGE(AI204:AN204),"")</f>
        <v/>
      </c>
      <c r="AP204" s="40" t="str">
        <f t="shared" si="852"/>
        <v/>
      </c>
      <c r="AQ204" s="15"/>
      <c r="AR204" s="15"/>
    </row>
    <row r="205" spans="3:44">
      <c r="C205" s="232"/>
      <c r="D205" s="21" t="s">
        <v>18</v>
      </c>
      <c r="E205" s="22">
        <f>Data!H137</f>
        <v>0</v>
      </c>
      <c r="F205" s="22">
        <f>Data!I137</f>
        <v>0</v>
      </c>
      <c r="G205" s="22">
        <f>Data!J137</f>
        <v>0</v>
      </c>
      <c r="H205" s="22">
        <f>Data!K137</f>
        <v>0</v>
      </c>
      <c r="I205" s="22">
        <f>Data!L137</f>
        <v>0</v>
      </c>
      <c r="J205" s="22">
        <f>Data!M137</f>
        <v>0</v>
      </c>
      <c r="K205" s="22"/>
      <c r="L205" s="232"/>
      <c r="M205" s="130" t="s">
        <v>18</v>
      </c>
      <c r="N205" s="15" t="str">
        <f t="shared" si="844"/>
        <v xml:space="preserve"> </v>
      </c>
      <c r="O205" s="15" t="str">
        <f t="shared" si="844"/>
        <v xml:space="preserve"> </v>
      </c>
      <c r="P205" s="15" t="str">
        <f t="shared" si="844"/>
        <v xml:space="preserve"> </v>
      </c>
      <c r="Q205" s="15" t="str">
        <f t="shared" si="844"/>
        <v xml:space="preserve"> </v>
      </c>
      <c r="R205" s="15" t="str">
        <f t="shared" si="844"/>
        <v xml:space="preserve"> </v>
      </c>
      <c r="S205" s="15" t="str">
        <f t="shared" si="844"/>
        <v xml:space="preserve"> </v>
      </c>
      <c r="T205" s="20" t="str">
        <f t="shared" si="705"/>
        <v/>
      </c>
      <c r="U205" s="40" t="str">
        <f t="shared" si="706"/>
        <v/>
      </c>
      <c r="V205" s="109"/>
      <c r="W205" s="110">
        <v>50</v>
      </c>
      <c r="X205" s="20" t="str">
        <f>IFERROR(($N$25-N205)/W205,"")</f>
        <v/>
      </c>
      <c r="Y205" s="15" t="str">
        <f>IFERROR(($O$25-O205)/W205,"")</f>
        <v/>
      </c>
      <c r="Z205" s="15" t="str">
        <f>IFERROR(($P$25-P205)/W205,"")</f>
        <v/>
      </c>
      <c r="AA205" s="15" t="str">
        <f>IFERROR(($Q$25-Q205)/W205,"")</f>
        <v/>
      </c>
      <c r="AB205" s="15" t="str">
        <f>IFERROR(($R$25-R205)/W205,"")</f>
        <v/>
      </c>
      <c r="AC205" s="15" t="str">
        <f>IFERROR(($S$25-S205)/W205,"")</f>
        <v/>
      </c>
      <c r="AD205" s="20" t="str">
        <f>IFERROR(AVERAGE(X205:AC205), "")</f>
        <v/>
      </c>
      <c r="AE205" s="40" t="str">
        <f>IFERROR(STDEV(X205:AC205), "")</f>
        <v/>
      </c>
      <c r="AG205" s="229"/>
      <c r="AH205" s="77">
        <f>'Sample ID'!$F$16</f>
        <v>0</v>
      </c>
      <c r="AI205" s="77" t="str">
        <f>IFERROR((X205*$AH$43),"")</f>
        <v/>
      </c>
      <c r="AJ205" s="77" t="str">
        <f t="shared" ref="AJ205" si="859">IFERROR((Y205*$AH$43),"")</f>
        <v/>
      </c>
      <c r="AK205" s="77" t="str">
        <f t="shared" ref="AK205" si="860">IFERROR((Z205*$AH$43),"")</f>
        <v/>
      </c>
      <c r="AL205" s="77" t="str">
        <f t="shared" ref="AL205" si="861">IFERROR((AA205*$AH$43),"")</f>
        <v/>
      </c>
      <c r="AM205" s="77" t="str">
        <f t="shared" ref="AM205" si="862">IFERROR((AB205*$AH$43),"")</f>
        <v/>
      </c>
      <c r="AN205" s="77" t="str">
        <f t="shared" ref="AN205" si="863">IFERROR((AC205*$AH$43),"")</f>
        <v/>
      </c>
      <c r="AO205" s="40" t="str">
        <f t="shared" si="858"/>
        <v/>
      </c>
      <c r="AP205" s="40" t="str">
        <f>IFERROR(STDEV(AI205:AN205), "")</f>
        <v/>
      </c>
      <c r="AQ205" s="15"/>
      <c r="AR205" s="15"/>
    </row>
    <row r="206" spans="3:44">
      <c r="C206" s="232"/>
      <c r="D206" s="21" t="s">
        <v>19</v>
      </c>
      <c r="E206" s="22">
        <f>Data!H138</f>
        <v>0</v>
      </c>
      <c r="F206" s="22">
        <f>Data!I138</f>
        <v>0</v>
      </c>
      <c r="G206" s="22">
        <f>Data!J138</f>
        <v>0</v>
      </c>
      <c r="H206" s="22">
        <f>Data!K138</f>
        <v>0</v>
      </c>
      <c r="I206" s="22">
        <f>Data!L138</f>
        <v>0</v>
      </c>
      <c r="J206" s="22">
        <f>Data!M138</f>
        <v>0</v>
      </c>
      <c r="K206" s="22"/>
      <c r="L206" s="232"/>
      <c r="M206" s="130" t="s">
        <v>19</v>
      </c>
      <c r="N206" s="15" t="str">
        <f t="shared" si="844"/>
        <v xml:space="preserve"> </v>
      </c>
      <c r="O206" s="15" t="str">
        <f t="shared" si="844"/>
        <v xml:space="preserve"> </v>
      </c>
      <c r="P206" s="15" t="str">
        <f t="shared" si="844"/>
        <v xml:space="preserve"> </v>
      </c>
      <c r="Q206" s="15" t="str">
        <f t="shared" si="844"/>
        <v xml:space="preserve"> </v>
      </c>
      <c r="R206" s="15" t="str">
        <f t="shared" si="844"/>
        <v xml:space="preserve"> </v>
      </c>
      <c r="S206" s="15" t="str">
        <f t="shared" si="844"/>
        <v xml:space="preserve"> </v>
      </c>
      <c r="T206" s="20" t="str">
        <f t="shared" si="705"/>
        <v/>
      </c>
      <c r="U206" s="40" t="str">
        <f t="shared" si="706"/>
        <v/>
      </c>
      <c r="V206" s="109"/>
      <c r="W206" s="110">
        <v>50</v>
      </c>
      <c r="X206" s="20" t="str">
        <f>IFERROR(($N$26-N206)/W206,"")</f>
        <v/>
      </c>
      <c r="Y206" s="15" t="str">
        <f>IFERROR(($O$26-O206)/W206,"")</f>
        <v/>
      </c>
      <c r="Z206" s="15" t="str">
        <f>IFERROR(($P$26-P206)/W206,"")</f>
        <v/>
      </c>
      <c r="AA206" s="15" t="str">
        <f>IFERROR(($Q$17-Q206)/W206,"")</f>
        <v/>
      </c>
      <c r="AB206" s="15" t="str">
        <f>IFERROR(($R$26-R206)/W206,"")</f>
        <v/>
      </c>
      <c r="AC206" s="15" t="str">
        <f>IFERROR(($S$26-S206)/W206,"")</f>
        <v/>
      </c>
      <c r="AD206" s="20" t="str">
        <f t="shared" ref="AD206:AD209" si="864">IFERROR(AVERAGE(X206:AC206), "")</f>
        <v/>
      </c>
      <c r="AE206" s="40" t="str">
        <f t="shared" ref="AE206:AE210" si="865">IFERROR(STDEV(X206:AC206), "")</f>
        <v/>
      </c>
      <c r="AG206" s="229"/>
      <c r="AH206" s="77">
        <f>'Sample ID'!$F$17</f>
        <v>0</v>
      </c>
      <c r="AI206" s="77" t="str">
        <f>IFERROR((X206*$AH$44),"")</f>
        <v/>
      </c>
      <c r="AJ206" s="77" t="str">
        <f t="shared" ref="AJ206" si="866">IFERROR((Y206*$AH$44),"")</f>
        <v/>
      </c>
      <c r="AK206" s="77" t="str">
        <f t="shared" ref="AK206" si="867">IFERROR((Z206*$AH$44),"")</f>
        <v/>
      </c>
      <c r="AL206" s="77" t="str">
        <f t="shared" ref="AL206" si="868">IFERROR((AA206*$AH$44),"")</f>
        <v/>
      </c>
      <c r="AM206" s="77" t="str">
        <f t="shared" ref="AM206" si="869">IFERROR((AB206*$AH$44),"")</f>
        <v/>
      </c>
      <c r="AN206" s="77" t="str">
        <f t="shared" ref="AN206" si="870">IFERROR((AC206*$AH$44),"")</f>
        <v/>
      </c>
      <c r="AO206" s="40" t="str">
        <f t="shared" si="858"/>
        <v/>
      </c>
      <c r="AP206" s="40" t="str">
        <f t="shared" ref="AP206:AP210" si="871">IFERROR(STDEV(AI206:AN206), "")</f>
        <v/>
      </c>
      <c r="AQ206" s="15"/>
      <c r="AR206" s="15"/>
    </row>
    <row r="207" spans="3:44">
      <c r="C207" s="232"/>
      <c r="D207" s="21" t="s">
        <v>20</v>
      </c>
      <c r="E207" s="22">
        <f>Data!H139</f>
        <v>0</v>
      </c>
      <c r="F207" s="22">
        <f>Data!I139</f>
        <v>0</v>
      </c>
      <c r="G207" s="22">
        <f>Data!J139</f>
        <v>0</v>
      </c>
      <c r="H207" s="22">
        <f>Data!K139</f>
        <v>0</v>
      </c>
      <c r="I207" s="22">
        <f>Data!L139</f>
        <v>0</v>
      </c>
      <c r="J207" s="22">
        <f>Data!M139</f>
        <v>0</v>
      </c>
      <c r="K207" s="22"/>
      <c r="L207" s="232"/>
      <c r="M207" s="130" t="s">
        <v>20</v>
      </c>
      <c r="N207" s="15" t="str">
        <f t="shared" si="844"/>
        <v xml:space="preserve"> </v>
      </c>
      <c r="O207" s="15" t="str">
        <f t="shared" si="844"/>
        <v xml:space="preserve"> </v>
      </c>
      <c r="P207" s="15" t="str">
        <f t="shared" si="844"/>
        <v xml:space="preserve"> </v>
      </c>
      <c r="Q207" s="15" t="str">
        <f t="shared" si="844"/>
        <v xml:space="preserve"> </v>
      </c>
      <c r="R207" s="15" t="str">
        <f t="shared" si="844"/>
        <v xml:space="preserve"> </v>
      </c>
      <c r="S207" s="15" t="str">
        <f t="shared" si="844"/>
        <v xml:space="preserve"> </v>
      </c>
      <c r="T207" s="20" t="str">
        <f t="shared" si="705"/>
        <v/>
      </c>
      <c r="U207" s="40" t="str">
        <f t="shared" si="706"/>
        <v/>
      </c>
      <c r="V207" s="109"/>
      <c r="W207" s="110">
        <v>50</v>
      </c>
      <c r="X207" s="20" t="str">
        <f>IFERROR(($N$27-N207)/W207,"")</f>
        <v/>
      </c>
      <c r="Y207" s="15" t="str">
        <f>IFERROR(($O$27-O207)/W207,"")</f>
        <v/>
      </c>
      <c r="Z207" s="15" t="str">
        <f>IFERROR(($P$27-P207)/W207,"")</f>
        <v/>
      </c>
      <c r="AA207" s="15" t="str">
        <f>IFERROR(($Q$18-Q207)/W207,"")</f>
        <v/>
      </c>
      <c r="AB207" s="15" t="str">
        <f>IFERROR(($R$27-R207)/W207,"")</f>
        <v/>
      </c>
      <c r="AC207" s="15" t="str">
        <f>IFERROR(($S$27-S207)/W207,"")</f>
        <v/>
      </c>
      <c r="AD207" s="20" t="str">
        <f t="shared" si="864"/>
        <v/>
      </c>
      <c r="AE207" s="40" t="str">
        <f t="shared" si="865"/>
        <v/>
      </c>
      <c r="AG207" s="229"/>
      <c r="AH207" s="77">
        <f>'Sample ID'!$F$18</f>
        <v>0</v>
      </c>
      <c r="AI207" s="77" t="str">
        <f>IFERROR((X207*$AH$45),"")</f>
        <v/>
      </c>
      <c r="AJ207" s="77" t="str">
        <f t="shared" ref="AJ207" si="872">IFERROR((Y207*$AH$45),"")</f>
        <v/>
      </c>
      <c r="AK207" s="77" t="str">
        <f t="shared" ref="AK207" si="873">IFERROR((Z207*$AH$45),"")</f>
        <v/>
      </c>
      <c r="AL207" s="77" t="str">
        <f t="shared" ref="AL207" si="874">IFERROR((AA207*$AH$45),"")</f>
        <v/>
      </c>
      <c r="AM207" s="77" t="str">
        <f t="shared" ref="AM207" si="875">IFERROR((AB207*$AH$45),"")</f>
        <v/>
      </c>
      <c r="AN207" s="77" t="str">
        <f t="shared" ref="AN207" si="876">IFERROR((AC207*$AH$45),"")</f>
        <v/>
      </c>
      <c r="AO207" s="40" t="str">
        <f t="shared" si="858"/>
        <v/>
      </c>
      <c r="AP207" s="40" t="str">
        <f t="shared" si="871"/>
        <v/>
      </c>
      <c r="AQ207" s="15"/>
      <c r="AR207" s="15"/>
    </row>
    <row r="208" spans="3:44">
      <c r="C208" s="232"/>
      <c r="D208" s="21" t="s">
        <v>21</v>
      </c>
      <c r="E208" s="22">
        <f>Data!H140</f>
        <v>0</v>
      </c>
      <c r="F208" s="22">
        <f>Data!I140</f>
        <v>0</v>
      </c>
      <c r="G208" s="22">
        <f>Data!J140</f>
        <v>0</v>
      </c>
      <c r="H208" s="22">
        <f>Data!K140</f>
        <v>0</v>
      </c>
      <c r="I208" s="22">
        <f>Data!L140</f>
        <v>0</v>
      </c>
      <c r="J208" s="22">
        <f>Data!M140</f>
        <v>0</v>
      </c>
      <c r="K208" s="22"/>
      <c r="L208" s="232"/>
      <c r="M208" s="130" t="s">
        <v>21</v>
      </c>
      <c r="N208" s="15" t="str">
        <f t="shared" si="844"/>
        <v xml:space="preserve"> </v>
      </c>
      <c r="O208" s="15" t="str">
        <f t="shared" si="844"/>
        <v xml:space="preserve"> </v>
      </c>
      <c r="P208" s="15" t="str">
        <f t="shared" si="844"/>
        <v xml:space="preserve"> </v>
      </c>
      <c r="Q208" s="15" t="str">
        <f t="shared" si="844"/>
        <v xml:space="preserve"> </v>
      </c>
      <c r="R208" s="15" t="str">
        <f t="shared" si="844"/>
        <v xml:space="preserve"> </v>
      </c>
      <c r="S208" s="15" t="str">
        <f t="shared" si="844"/>
        <v xml:space="preserve"> </v>
      </c>
      <c r="T208" s="20" t="str">
        <f t="shared" si="705"/>
        <v/>
      </c>
      <c r="U208" s="40" t="str">
        <f t="shared" si="706"/>
        <v/>
      </c>
      <c r="V208" s="109"/>
      <c r="W208" s="110">
        <v>50</v>
      </c>
      <c r="X208" s="20" t="str">
        <f>IFERROR(($N$28-N208)/W208,"")</f>
        <v/>
      </c>
      <c r="Y208" s="15" t="str">
        <f>IFERROR(($O$28-O208)/W208,"")</f>
        <v/>
      </c>
      <c r="Z208" s="15" t="str">
        <f>IFERROR(($P$28-P208)/W208,"")</f>
        <v/>
      </c>
      <c r="AA208" s="15" t="str">
        <f>IFERROR(($Q$19-Q208)/W208,"")</f>
        <v/>
      </c>
      <c r="AB208" s="15" t="str">
        <f>IFERROR(($R$28-R208)/W208,"")</f>
        <v/>
      </c>
      <c r="AC208" s="15" t="str">
        <f>IFERROR(($S$28-S208)/W208,"")</f>
        <v/>
      </c>
      <c r="AD208" s="20" t="str">
        <f t="shared" si="864"/>
        <v/>
      </c>
      <c r="AE208" s="40" t="str">
        <f t="shared" si="865"/>
        <v/>
      </c>
      <c r="AG208" s="229"/>
      <c r="AH208" s="77">
        <f>'Sample ID'!$F$19</f>
        <v>0</v>
      </c>
      <c r="AI208" s="77" t="str">
        <f>IFERROR((X208*$AH$46),"")</f>
        <v/>
      </c>
      <c r="AJ208" s="77" t="str">
        <f t="shared" ref="AJ208" si="877">IFERROR((Y208*$AH$46),"")</f>
        <v/>
      </c>
      <c r="AK208" s="77" t="str">
        <f t="shared" ref="AK208" si="878">IFERROR((Z208*$AH$46),"")</f>
        <v/>
      </c>
      <c r="AL208" s="77" t="str">
        <f t="shared" ref="AL208" si="879">IFERROR((AA208*$AH$46),"")</f>
        <v/>
      </c>
      <c r="AM208" s="77" t="str">
        <f t="shared" ref="AM208" si="880">IFERROR((AB208*$AH$46),"")</f>
        <v/>
      </c>
      <c r="AN208" s="77" t="str">
        <f t="shared" ref="AN208" si="881">IFERROR((AC208*$AH$46),"")</f>
        <v/>
      </c>
      <c r="AO208" s="40" t="str">
        <f t="shared" si="858"/>
        <v/>
      </c>
      <c r="AP208" s="40" t="str">
        <f t="shared" si="871"/>
        <v/>
      </c>
      <c r="AQ208" s="15"/>
      <c r="AR208" s="15"/>
    </row>
    <row r="209" spans="3:44">
      <c r="C209" s="232"/>
      <c r="D209" s="21" t="s">
        <v>22</v>
      </c>
      <c r="E209" s="22">
        <f>Data!H141</f>
        <v>0</v>
      </c>
      <c r="F209" s="22">
        <f>Data!I141</f>
        <v>0</v>
      </c>
      <c r="G209" s="22">
        <f>Data!J141</f>
        <v>0</v>
      </c>
      <c r="H209" s="22">
        <f>Data!K141</f>
        <v>0</v>
      </c>
      <c r="I209" s="22">
        <f>Data!L141</f>
        <v>0</v>
      </c>
      <c r="J209" s="22">
        <f>Data!M141</f>
        <v>0</v>
      </c>
      <c r="K209" s="22"/>
      <c r="L209" s="232"/>
      <c r="M209" s="130" t="s">
        <v>22</v>
      </c>
      <c r="N209" s="15" t="str">
        <f t="shared" si="844"/>
        <v xml:space="preserve"> </v>
      </c>
      <c r="O209" s="15" t="str">
        <f t="shared" si="844"/>
        <v xml:space="preserve"> </v>
      </c>
      <c r="P209" s="15" t="str">
        <f t="shared" si="844"/>
        <v xml:space="preserve"> </v>
      </c>
      <c r="Q209" s="15" t="str">
        <f t="shared" si="844"/>
        <v xml:space="preserve"> </v>
      </c>
      <c r="R209" s="15" t="str">
        <f t="shared" si="844"/>
        <v xml:space="preserve"> </v>
      </c>
      <c r="S209" s="15" t="str">
        <f t="shared" si="844"/>
        <v xml:space="preserve"> </v>
      </c>
      <c r="T209" s="20" t="str">
        <f t="shared" si="705"/>
        <v/>
      </c>
      <c r="U209" s="40" t="str">
        <f t="shared" si="706"/>
        <v/>
      </c>
      <c r="V209" s="109"/>
      <c r="W209" s="110">
        <v>50</v>
      </c>
      <c r="X209" s="20" t="str">
        <f>IFERROR(($N$29-N209)/W209,"")</f>
        <v/>
      </c>
      <c r="Y209" s="15" t="str">
        <f>IFERROR(($O$29-O209)/W209,"")</f>
        <v/>
      </c>
      <c r="Z209" s="15" t="str">
        <f>IFERROR(($P$29-P209)/W209,"")</f>
        <v/>
      </c>
      <c r="AA209" s="15" t="str">
        <f>IFERROR(($Q$20-Q209)/W209,"")</f>
        <v/>
      </c>
      <c r="AB209" s="15" t="str">
        <f>IFERROR(($R$29-R209)/W209,"")</f>
        <v/>
      </c>
      <c r="AC209" s="15" t="str">
        <f>IFERROR(($S$29-S209)/W209,"")</f>
        <v/>
      </c>
      <c r="AD209" s="20" t="str">
        <f t="shared" si="864"/>
        <v/>
      </c>
      <c r="AE209" s="40" t="str">
        <f t="shared" si="865"/>
        <v/>
      </c>
      <c r="AG209" s="229"/>
      <c r="AH209" s="77">
        <f>'Sample ID'!$F$20</f>
        <v>0</v>
      </c>
      <c r="AI209" s="77" t="str">
        <f>IFERROR((X209*$AH$47),"")</f>
        <v/>
      </c>
      <c r="AJ209" s="77" t="str">
        <f t="shared" ref="AJ209" si="882">IFERROR((Y209*$AH$47),"")</f>
        <v/>
      </c>
      <c r="AK209" s="77" t="str">
        <f t="shared" ref="AK209" si="883">IFERROR((Z209*$AH$47),"")</f>
        <v/>
      </c>
      <c r="AL209" s="77" t="str">
        <f t="shared" ref="AL209" si="884">IFERROR((AA209*$AH$47),"")</f>
        <v/>
      </c>
      <c r="AM209" s="77" t="str">
        <f t="shared" ref="AM209" si="885">IFERROR((AB209*$AH$47),"")</f>
        <v/>
      </c>
      <c r="AN209" s="77" t="str">
        <f t="shared" ref="AN209" si="886">IFERROR((AC209*$AH$47),"")</f>
        <v/>
      </c>
      <c r="AO209" s="40" t="str">
        <f t="shared" si="858"/>
        <v/>
      </c>
      <c r="AP209" s="40" t="str">
        <f t="shared" si="871"/>
        <v/>
      </c>
      <c r="AQ209" s="15"/>
      <c r="AR209" s="15"/>
    </row>
    <row r="210" spans="3:44">
      <c r="C210" s="232"/>
      <c r="D210" s="21" t="s">
        <v>23</v>
      </c>
      <c r="E210" s="22">
        <f>Data!H142</f>
        <v>0</v>
      </c>
      <c r="F210" s="22">
        <f>Data!I142</f>
        <v>0</v>
      </c>
      <c r="G210" s="22">
        <f>Data!J142</f>
        <v>0</v>
      </c>
      <c r="H210" s="22">
        <f>Data!K142</f>
        <v>0</v>
      </c>
      <c r="I210" s="22">
        <f>Data!L142</f>
        <v>0</v>
      </c>
      <c r="J210" s="22">
        <f>Data!M142</f>
        <v>0</v>
      </c>
      <c r="K210" s="22"/>
      <c r="L210" s="232"/>
      <c r="M210" s="130" t="s">
        <v>23</v>
      </c>
      <c r="N210" s="15" t="str">
        <f t="shared" si="844"/>
        <v xml:space="preserve"> </v>
      </c>
      <c r="O210" s="15" t="str">
        <f t="shared" si="844"/>
        <v xml:space="preserve"> </v>
      </c>
      <c r="P210" s="15" t="str">
        <f t="shared" si="844"/>
        <v xml:space="preserve"> </v>
      </c>
      <c r="Q210" s="15" t="str">
        <f t="shared" si="844"/>
        <v xml:space="preserve"> </v>
      </c>
      <c r="R210" s="15" t="str">
        <f t="shared" si="844"/>
        <v xml:space="preserve"> </v>
      </c>
      <c r="S210" s="15" t="str">
        <f t="shared" si="844"/>
        <v xml:space="preserve"> </v>
      </c>
      <c r="T210" s="20" t="str">
        <f t="shared" si="705"/>
        <v/>
      </c>
      <c r="U210" s="40" t="str">
        <f t="shared" si="706"/>
        <v/>
      </c>
      <c r="V210" s="109"/>
      <c r="W210" s="110">
        <v>50</v>
      </c>
      <c r="X210" s="20" t="str">
        <f>IFERROR(($N$30-N210)/W210,"")</f>
        <v/>
      </c>
      <c r="Y210" s="15" t="str">
        <f>IFERROR(($O$30-O210)/W210,"")</f>
        <v/>
      </c>
      <c r="Z210" s="15" t="str">
        <f>IFERROR(($P$30-P210)/W210,"")</f>
        <v/>
      </c>
      <c r="AA210" s="15" t="str">
        <f>IFERROR(($Q$21-Q210)/W210,"")</f>
        <v/>
      </c>
      <c r="AB210" s="17" t="str">
        <f>IFERROR(($R$30-R210)/W210,"")</f>
        <v/>
      </c>
      <c r="AC210" s="15" t="str">
        <f>IFERROR(($S$30-S210)/W210,"")</f>
        <v/>
      </c>
      <c r="AD210" s="20" t="str">
        <f>IFERROR(AVERAGE(X210:AC210), "")</f>
        <v/>
      </c>
      <c r="AE210" s="40" t="str">
        <f t="shared" si="865"/>
        <v/>
      </c>
      <c r="AG210" s="230"/>
      <c r="AH210" s="77">
        <f>'Sample ID'!$F$21</f>
        <v>0</v>
      </c>
      <c r="AI210" s="77" t="str">
        <f>IFERROR((X210*$AH$48),"")</f>
        <v/>
      </c>
      <c r="AJ210" s="77" t="str">
        <f t="shared" ref="AJ210" si="887">IFERROR((Y210*$AH$48),"")</f>
        <v/>
      </c>
      <c r="AK210" s="77" t="str">
        <f t="shared" ref="AK210" si="888">IFERROR((Z210*$AH$48),"")</f>
        <v/>
      </c>
      <c r="AL210" s="77" t="str">
        <f t="shared" ref="AL210" si="889">IFERROR((AA210*$AH$48),"")</f>
        <v/>
      </c>
      <c r="AM210" s="77" t="str">
        <f t="shared" ref="AM210" si="890">IFERROR((AB210*$AH$48),"")</f>
        <v/>
      </c>
      <c r="AN210" s="77" t="str">
        <f t="shared" ref="AN210" si="891">IFERROR((AC210*$AH$48),"")</f>
        <v/>
      </c>
      <c r="AO210" s="40" t="str">
        <f t="shared" si="858"/>
        <v/>
      </c>
      <c r="AP210" s="40" t="str">
        <f t="shared" si="871"/>
        <v/>
      </c>
      <c r="AQ210" s="15"/>
      <c r="AR210" s="15"/>
    </row>
    <row r="211" spans="3:44">
      <c r="C211" s="232">
        <v>55</v>
      </c>
      <c r="D211" s="50"/>
      <c r="E211" s="58">
        <v>1</v>
      </c>
      <c r="F211" s="58">
        <v>2</v>
      </c>
      <c r="G211" s="59">
        <v>3</v>
      </c>
      <c r="H211" s="56">
        <v>4</v>
      </c>
      <c r="I211" s="56">
        <v>5</v>
      </c>
      <c r="J211" s="57">
        <v>6</v>
      </c>
      <c r="K211" s="27"/>
      <c r="L211" s="232">
        <v>55</v>
      </c>
      <c r="M211" s="38"/>
      <c r="N211" s="59">
        <v>1</v>
      </c>
      <c r="O211" s="38">
        <v>2</v>
      </c>
      <c r="P211" s="38">
        <v>3</v>
      </c>
      <c r="Q211" s="38">
        <v>4</v>
      </c>
      <c r="R211" s="38">
        <v>5</v>
      </c>
      <c r="S211" s="50">
        <v>6</v>
      </c>
      <c r="T211" s="38" t="s">
        <v>24</v>
      </c>
      <c r="U211" s="51" t="s">
        <v>3</v>
      </c>
      <c r="V211" s="109"/>
      <c r="W211" s="38" t="s">
        <v>34</v>
      </c>
      <c r="X211" s="38">
        <v>1</v>
      </c>
      <c r="Y211" s="38">
        <v>2</v>
      </c>
      <c r="Z211" s="38">
        <v>3</v>
      </c>
      <c r="AA211" s="38">
        <v>4</v>
      </c>
      <c r="AB211" s="38">
        <v>5</v>
      </c>
      <c r="AC211" s="50">
        <v>6</v>
      </c>
      <c r="AD211" s="50" t="s">
        <v>49</v>
      </c>
      <c r="AE211" s="51" t="s">
        <v>3</v>
      </c>
      <c r="AF211" s="69"/>
      <c r="AG211" s="231">
        <v>55</v>
      </c>
      <c r="AH211" s="38" t="s">
        <v>35</v>
      </c>
      <c r="AI211" s="38"/>
      <c r="AJ211" s="38"/>
      <c r="AK211" s="38"/>
      <c r="AL211" s="38"/>
      <c r="AM211" s="38"/>
      <c r="AN211" s="38"/>
      <c r="AO211" s="52" t="s">
        <v>36</v>
      </c>
      <c r="AP211" s="51" t="s">
        <v>3</v>
      </c>
      <c r="AQ211" s="15"/>
      <c r="AR211" s="15"/>
    </row>
    <row r="212" spans="3:44">
      <c r="C212" s="232"/>
      <c r="D212" s="21" t="s">
        <v>16</v>
      </c>
      <c r="E212" s="22">
        <f>Data!B147</f>
        <v>1.9219999999999999</v>
      </c>
      <c r="F212" s="22">
        <f>Data!C147</f>
        <v>1.9059999999999999</v>
      </c>
      <c r="G212" s="22">
        <f>Data!D147</f>
        <v>1.9319999999999999</v>
      </c>
      <c r="H212" s="22">
        <f>Data!E147</f>
        <v>1.9219999999999999</v>
      </c>
      <c r="I212" s="22">
        <f>Data!F147</f>
        <v>1.9059999999999999</v>
      </c>
      <c r="J212" s="22">
        <f>Data!G147</f>
        <v>1.9319999999999999</v>
      </c>
      <c r="K212" s="22"/>
      <c r="L212" s="232"/>
      <c r="M212" s="130" t="s">
        <v>16</v>
      </c>
      <c r="N212" s="15">
        <f t="shared" ref="N212:S219" si="892">IF(((E212-$P$11)/$P$10)&gt;0,((E212-$P$11)/$P$10)," ")</f>
        <v>1.683628318584071</v>
      </c>
      <c r="O212" s="15">
        <f t="shared" si="892"/>
        <v>1.6680114523685583</v>
      </c>
      <c r="P212" s="15">
        <f t="shared" si="892"/>
        <v>1.6933888599687665</v>
      </c>
      <c r="Q212" s="15">
        <f t="shared" si="892"/>
        <v>1.683628318584071</v>
      </c>
      <c r="R212" s="15">
        <f t="shared" si="892"/>
        <v>1.6680114523685583</v>
      </c>
      <c r="S212" s="15">
        <f t="shared" si="892"/>
        <v>1.6933888599687665</v>
      </c>
      <c r="T212" s="20">
        <f t="shared" ref="T212:T237" si="893">IFERROR(AVERAGE(N212:S212),"")</f>
        <v>1.6816762103071319</v>
      </c>
      <c r="U212" s="40">
        <f t="shared" ref="U212:U237" si="894">IFERROR(STDEV(N212:S212),"")</f>
        <v>1.1449410436190929E-2</v>
      </c>
      <c r="V212" s="109"/>
      <c r="W212" s="110">
        <v>55</v>
      </c>
      <c r="X212" s="20">
        <f>IFERROR(($N$14-N212)/W212,"")</f>
        <v>8.6957550518196314E-4</v>
      </c>
      <c r="Y212" s="15">
        <f>IFERROR(($O$14-O212)/W212,"")</f>
        <v>1.1357720884009295E-3</v>
      </c>
      <c r="Z212" s="15">
        <f>IFERROR(($P$14-P212)/W212,"")</f>
        <v>1.1890114050447243E-3</v>
      </c>
      <c r="AA212" s="15">
        <f>IFERROR(($Q$14-Q212)/W212,"")</f>
        <v>8.6957550518196314E-4</v>
      </c>
      <c r="AB212" s="15">
        <f>IFERROR(($R$14-R212)/W212,"")</f>
        <v>1.1357720884009295E-3</v>
      </c>
      <c r="AC212" s="15">
        <f>IFERROR(($S$14-S212)/W212,"")</f>
        <v>1.1890114050447243E-3</v>
      </c>
      <c r="AD212" s="20">
        <f>IFERROR(AVERAGE(X212:AC212), "")</f>
        <v>1.0647863328758723E-3</v>
      </c>
      <c r="AE212" s="40">
        <f>IFERROR(STDEV(X212:AC212), "")</f>
        <v>1.5307267985079608E-4</v>
      </c>
      <c r="AG212" s="229"/>
      <c r="AH212" s="76">
        <f>'Sample ID'!$F$6</f>
        <v>1</v>
      </c>
      <c r="AI212" s="77">
        <f>IFERROR((X212*$AH$32),"")</f>
        <v>8.6957550518196314E-4</v>
      </c>
      <c r="AJ212" s="77">
        <f t="shared" ref="AJ212" si="895">IFERROR((Y212*$AH$32),"")</f>
        <v>1.1357720884009295E-3</v>
      </c>
      <c r="AK212" s="77">
        <f t="shared" ref="AK212" si="896">IFERROR((Z212*$AH$32),"")</f>
        <v>1.1890114050447243E-3</v>
      </c>
      <c r="AL212" s="77">
        <f t="shared" ref="AL212" si="897">IFERROR((AA212*$AH$32),"")</f>
        <v>8.6957550518196314E-4</v>
      </c>
      <c r="AM212" s="77">
        <f t="shared" ref="AM212" si="898">IFERROR((AB212*$AH$32),"")</f>
        <v>1.1357720884009295E-3</v>
      </c>
      <c r="AN212" s="77">
        <f t="shared" ref="AN212" si="899">IFERROR((AC212*$AH$32),"")</f>
        <v>1.1890114050447243E-3</v>
      </c>
      <c r="AO212" s="40">
        <f>IFERROR(AVERAGE(AI212:AN212),"")</f>
        <v>1.0647863328758723E-3</v>
      </c>
      <c r="AP212" s="40">
        <f>IFERROR(STDEV(AI212:AN212), "")</f>
        <v>1.5307267985079608E-4</v>
      </c>
      <c r="AQ212" s="15"/>
      <c r="AR212" s="15"/>
    </row>
    <row r="213" spans="3:44">
      <c r="C213" s="232"/>
      <c r="D213" s="21" t="s">
        <v>17</v>
      </c>
      <c r="E213" s="22">
        <f>Data!B148</f>
        <v>2.0179999999999998</v>
      </c>
      <c r="F213" s="22">
        <f>Data!C148</f>
        <v>2.0230000000000001</v>
      </c>
      <c r="G213" s="22">
        <f>Data!D148</f>
        <v>2.0099999999999998</v>
      </c>
      <c r="H213" s="22">
        <f>Data!E148</f>
        <v>2.0179999999999998</v>
      </c>
      <c r="I213" s="22">
        <f>Data!F148</f>
        <v>2.0230000000000001</v>
      </c>
      <c r="J213" s="22">
        <f>Data!G148</f>
        <v>2.0099999999999998</v>
      </c>
      <c r="K213" s="22"/>
      <c r="L213" s="232"/>
      <c r="M213" s="130" t="s">
        <v>17</v>
      </c>
      <c r="N213" s="15">
        <f t="shared" si="892"/>
        <v>1.7773295158771476</v>
      </c>
      <c r="O213" s="15">
        <f t="shared" si="892"/>
        <v>1.7822097865694955</v>
      </c>
      <c r="P213" s="15">
        <f t="shared" si="892"/>
        <v>1.769521082769391</v>
      </c>
      <c r="Q213" s="15">
        <f t="shared" si="892"/>
        <v>1.7773295158771476</v>
      </c>
      <c r="R213" s="15">
        <f t="shared" si="892"/>
        <v>1.7822097865694955</v>
      </c>
      <c r="S213" s="15">
        <f t="shared" si="892"/>
        <v>1.769521082769391</v>
      </c>
      <c r="T213" s="20">
        <f t="shared" si="893"/>
        <v>1.7763534617386778</v>
      </c>
      <c r="U213" s="40">
        <f t="shared" si="894"/>
        <v>5.7247052180956163E-3</v>
      </c>
      <c r="V213" s="109"/>
      <c r="W213" s="110">
        <v>55</v>
      </c>
      <c r="X213" s="20">
        <f>IFERROR(($N$15-N213)/W213,"")</f>
        <v>-9.7605413846954482E-4</v>
      </c>
      <c r="Y213" s="15">
        <f>IFERROR(($O$15-O213)/W213,"")</f>
        <v>-1.1180256495196645E-3</v>
      </c>
      <c r="Z213" s="15">
        <f>IFERROR(($P$15-P213)/W213,"")</f>
        <v>-6.743646774880445E-4</v>
      </c>
      <c r="AA213" s="15">
        <f>IFERROR(($Q$15-Q213)/W213,"")</f>
        <v>-9.7605413846954482E-4</v>
      </c>
      <c r="AB213" s="15">
        <f>IFERROR(($R$15-R213)/W213,"")</f>
        <v>-1.1180256495196645E-3</v>
      </c>
      <c r="AC213" s="15">
        <f>IFERROR(($S$15-S213)/W213,"")</f>
        <v>-6.743646774880445E-4</v>
      </c>
      <c r="AD213" s="20">
        <f>IFERROR(AVERAGE(X213:AC213), "")</f>
        <v>-9.2281482182575121E-4</v>
      </c>
      <c r="AE213" s="40">
        <f>IFERROR(STDEV(X213:AC213), "")</f>
        <v>2.0265158899655155E-4</v>
      </c>
      <c r="AG213" s="229"/>
      <c r="AH213" s="77">
        <f>'Sample ID'!$F$7</f>
        <v>1</v>
      </c>
      <c r="AI213" s="77">
        <f>IFERROR((X213*$AH$33),"")</f>
        <v>-9.7605413846954482E-4</v>
      </c>
      <c r="AJ213" s="77">
        <f t="shared" ref="AJ213" si="900">IFERROR((Y213*$AH$33),"")</f>
        <v>-1.1180256495196645E-3</v>
      </c>
      <c r="AK213" s="77">
        <f t="shared" ref="AK213" si="901">IFERROR((Z213*$AH$33),"")</f>
        <v>-6.743646774880445E-4</v>
      </c>
      <c r="AL213" s="77">
        <f t="shared" ref="AL213" si="902">IFERROR((AA213*$AH$33),"")</f>
        <v>-9.7605413846954482E-4</v>
      </c>
      <c r="AM213" s="77">
        <f t="shared" ref="AM213" si="903">IFERROR((AB213*$AH$33),"")</f>
        <v>-1.1180256495196645E-3</v>
      </c>
      <c r="AN213" s="77">
        <f t="shared" ref="AN213" si="904">IFERROR((AC213*$AH$33),"")</f>
        <v>-6.743646774880445E-4</v>
      </c>
      <c r="AO213" s="40">
        <f t="shared" ref="AO213:AO219" si="905">IFERROR(AVERAGE(AI213:AN213),"")</f>
        <v>-9.2281482182575121E-4</v>
      </c>
      <c r="AP213" s="40">
        <f>IFERROR(STDEV(AI213:AN213), "")</f>
        <v>2.0265158899655155E-4</v>
      </c>
      <c r="AQ213" s="15"/>
      <c r="AR213" s="15"/>
    </row>
    <row r="214" spans="3:44">
      <c r="C214" s="232"/>
      <c r="D214" s="21" t="s">
        <v>18</v>
      </c>
      <c r="E214" s="22">
        <f>Data!B149</f>
        <v>1.9810000000000001</v>
      </c>
      <c r="F214" s="22">
        <f>Data!C149</f>
        <v>1.976</v>
      </c>
      <c r="G214" s="22">
        <f>Data!D149</f>
        <v>2.0129999999999999</v>
      </c>
      <c r="H214" s="22">
        <f>Data!E149</f>
        <v>1.9810000000000001</v>
      </c>
      <c r="I214" s="22">
        <f>Data!F149</f>
        <v>1.976</v>
      </c>
      <c r="J214" s="22">
        <f>Data!G149</f>
        <v>2.0129999999999999</v>
      </c>
      <c r="K214" s="22"/>
      <c r="L214" s="232"/>
      <c r="M214" s="130" t="s">
        <v>18</v>
      </c>
      <c r="N214" s="15">
        <f t="shared" si="892"/>
        <v>1.7412155127537745</v>
      </c>
      <c r="O214" s="15">
        <f t="shared" si="892"/>
        <v>1.7363352420614266</v>
      </c>
      <c r="P214" s="15">
        <f t="shared" si="892"/>
        <v>1.7724492451848</v>
      </c>
      <c r="Q214" s="15">
        <f t="shared" si="892"/>
        <v>1.7412155127537745</v>
      </c>
      <c r="R214" s="15">
        <f t="shared" si="892"/>
        <v>1.7363352420614266</v>
      </c>
      <c r="S214" s="15">
        <f t="shared" si="892"/>
        <v>1.7724492451848</v>
      </c>
      <c r="T214" s="20">
        <f t="shared" si="893"/>
        <v>1.7500000000000007</v>
      </c>
      <c r="U214" s="40">
        <f t="shared" si="894"/>
        <v>1.7525540620091193E-2</v>
      </c>
      <c r="V214" s="109"/>
      <c r="W214" s="110">
        <v>55</v>
      </c>
      <c r="X214" s="20">
        <f>IFERROR(($N$16-N214)/W214,"")</f>
        <v>-3.5492877762529929E-5</v>
      </c>
      <c r="Y214" s="15">
        <f>IFERROR(($O$16-O214)/W214,"")</f>
        <v>4.2591453315035113E-4</v>
      </c>
      <c r="Z214" s="15">
        <f>IFERROR(($P$16-P214)/W214,"")</f>
        <v>2.4845014433770547E-4</v>
      </c>
      <c r="AA214" s="15">
        <f>IFERROR(($Q$16-Q214)/W214,"")</f>
        <v>-3.5492877762529929E-5</v>
      </c>
      <c r="AB214" s="15">
        <f>IFERROR(($R$16-R214)/W214,"")</f>
        <v>4.2591453315035113E-4</v>
      </c>
      <c r="AC214" s="15">
        <f>IFERROR(($S$16-S214)/W214,"")</f>
        <v>2.4845014433770547E-4</v>
      </c>
      <c r="AD214" s="20">
        <f>IFERROR(AVERAGE(X214:AC214), "")</f>
        <v>2.1295726657517559E-4</v>
      </c>
      <c r="AE214" s="40">
        <f t="shared" ref="AE214:AE219" si="906">IFERROR(STDEV(X214:AC214), "")</f>
        <v>2.0817109883983697E-4</v>
      </c>
      <c r="AG214" s="229"/>
      <c r="AH214" s="77">
        <f>'Sample ID'!$F$8</f>
        <v>1</v>
      </c>
      <c r="AI214" s="77">
        <f>IFERROR((X214*$AH$34),"")</f>
        <v>-3.5492877762529929E-5</v>
      </c>
      <c r="AJ214" s="77">
        <f t="shared" ref="AJ214" si="907">IFERROR((Y214*$AH$34),"")</f>
        <v>4.2591453315035113E-4</v>
      </c>
      <c r="AK214" s="77">
        <f t="shared" ref="AK214" si="908">IFERROR((Z214*$AH$34),"")</f>
        <v>2.4845014433770547E-4</v>
      </c>
      <c r="AL214" s="77">
        <f t="shared" ref="AL214" si="909">IFERROR((AA214*$AH$34),"")</f>
        <v>-3.5492877762529929E-5</v>
      </c>
      <c r="AM214" s="77">
        <f t="shared" ref="AM214" si="910">IFERROR((AB214*$AH$34),"")</f>
        <v>4.2591453315035113E-4</v>
      </c>
      <c r="AN214" s="77">
        <f t="shared" ref="AN214" si="911">IFERROR((AC214*$AH$34),"")</f>
        <v>2.4845014433770547E-4</v>
      </c>
      <c r="AO214" s="40">
        <f t="shared" si="905"/>
        <v>2.1295726657517559E-4</v>
      </c>
      <c r="AP214" s="40">
        <f t="shared" ref="AP214:AP219" si="912">IFERROR(STDEV(AI214:AN214), "")</f>
        <v>2.0817109883983697E-4</v>
      </c>
      <c r="AQ214" s="15"/>
      <c r="AR214" s="15"/>
    </row>
    <row r="215" spans="3:44">
      <c r="C215" s="232"/>
      <c r="D215" s="21" t="s">
        <v>19</v>
      </c>
      <c r="E215" s="22">
        <f>Data!B150</f>
        <v>2.2679999999999998</v>
      </c>
      <c r="F215" s="22">
        <f>Data!C150</f>
        <v>2.2679999999999998</v>
      </c>
      <c r="G215" s="22">
        <f>Data!D150</f>
        <v>2.2690000000000001</v>
      </c>
      <c r="H215" s="22">
        <f>Data!E150</f>
        <v>2.2679999999999998</v>
      </c>
      <c r="I215" s="22">
        <f>Data!F150</f>
        <v>2.2679999999999998</v>
      </c>
      <c r="J215" s="22">
        <f>Data!G150</f>
        <v>2.2690000000000001</v>
      </c>
      <c r="K215" s="22"/>
      <c r="L215" s="232"/>
      <c r="M215" s="130" t="s">
        <v>19</v>
      </c>
      <c r="N215" s="15">
        <f t="shared" si="892"/>
        <v>2.0213430504945342</v>
      </c>
      <c r="O215" s="15">
        <f t="shared" si="892"/>
        <v>2.0213430504945342</v>
      </c>
      <c r="P215" s="15">
        <f t="shared" si="892"/>
        <v>2.022319104633004</v>
      </c>
      <c r="Q215" s="15">
        <f t="shared" si="892"/>
        <v>2.0213430504945342</v>
      </c>
      <c r="R215" s="15">
        <f t="shared" si="892"/>
        <v>2.0213430504945342</v>
      </c>
      <c r="S215" s="15">
        <f t="shared" si="892"/>
        <v>2.022319104633004</v>
      </c>
      <c r="T215" s="20">
        <f t="shared" si="893"/>
        <v>2.0216684018740243</v>
      </c>
      <c r="U215" s="40">
        <f t="shared" si="894"/>
        <v>5.0403218977204602E-4</v>
      </c>
      <c r="V215" s="109"/>
      <c r="W215" s="110">
        <v>55</v>
      </c>
      <c r="X215" s="20">
        <f>IFERROR(($N$17-N215)/W215,"")</f>
        <v>-3.8687236761156575E-3</v>
      </c>
      <c r="Y215" s="15">
        <f>IFERROR(($O$17-O215)/W215,"")</f>
        <v>-3.9219629927594443E-3</v>
      </c>
      <c r="Z215" s="15">
        <f>IFERROR(($P$17-P215)/W215,"")</f>
        <v>-3.7977379205905979E-3</v>
      </c>
      <c r="AA215" s="15">
        <f>IFERROR(($Q$17-Q215)/W215,"")</f>
        <v>-3.8687236761156575E-3</v>
      </c>
      <c r="AB215" s="15">
        <f>IFERROR(($R$17-R215)/W215,"")</f>
        <v>-3.9219629927594443E-3</v>
      </c>
      <c r="AC215" s="15">
        <f>IFERROR(($S$17-S215)/W215,"")</f>
        <v>-3.7977379205905979E-3</v>
      </c>
      <c r="AD215" s="20">
        <f t="shared" ref="AD215:AD219" si="913">IFERROR(AVERAGE(X215:AC215), "")</f>
        <v>-3.8628081964885669E-3</v>
      </c>
      <c r="AE215" s="40">
        <f t="shared" si="906"/>
        <v>5.5743783963793972E-5</v>
      </c>
      <c r="AG215" s="229"/>
      <c r="AH215" s="77">
        <f>'Sample ID'!$F$9</f>
        <v>1</v>
      </c>
      <c r="AI215" s="77">
        <f>IFERROR((X215*$AH$35),"")</f>
        <v>-3.8687236761156575E-3</v>
      </c>
      <c r="AJ215" s="77">
        <f t="shared" ref="AJ215" si="914">IFERROR((Y215*$AH$35),"")</f>
        <v>-3.9219629927594443E-3</v>
      </c>
      <c r="AK215" s="77">
        <f t="shared" ref="AK215" si="915">IFERROR((Z215*$AH$35),"")</f>
        <v>-3.7977379205905979E-3</v>
      </c>
      <c r="AL215" s="77">
        <f t="shared" ref="AL215" si="916">IFERROR((AA215*$AH$35),"")</f>
        <v>-3.8687236761156575E-3</v>
      </c>
      <c r="AM215" s="77">
        <f t="shared" ref="AM215" si="917">IFERROR((AB215*$AH$35),"")</f>
        <v>-3.9219629927594443E-3</v>
      </c>
      <c r="AN215" s="77">
        <f t="shared" ref="AN215" si="918">IFERROR((AC215*$AH$35),"")</f>
        <v>-3.7977379205905979E-3</v>
      </c>
      <c r="AO215" s="40">
        <f t="shared" si="905"/>
        <v>-3.8628081964885669E-3</v>
      </c>
      <c r="AP215" s="40">
        <f t="shared" si="912"/>
        <v>5.5743783963793972E-5</v>
      </c>
      <c r="AQ215" s="15"/>
      <c r="AR215" s="15"/>
    </row>
    <row r="216" spans="3:44">
      <c r="C216" s="232"/>
      <c r="D216" s="21" t="s">
        <v>20</v>
      </c>
      <c r="E216" s="22">
        <f>Data!B151</f>
        <v>2.137</v>
      </c>
      <c r="F216" s="22">
        <f>Data!C151</f>
        <v>2.1890000000000001</v>
      </c>
      <c r="G216" s="22">
        <f>Data!D151</f>
        <v>2.1930000000000001</v>
      </c>
      <c r="H216" s="22">
        <f>Data!E151</f>
        <v>2.137</v>
      </c>
      <c r="I216" s="22">
        <f>Data!F151</f>
        <v>2.1890000000000001</v>
      </c>
      <c r="J216" s="22">
        <f>Data!G151</f>
        <v>2.1930000000000001</v>
      </c>
      <c r="K216" s="22"/>
      <c r="L216" s="232"/>
      <c r="M216" s="130" t="s">
        <v>20</v>
      </c>
      <c r="N216" s="15">
        <f t="shared" si="892"/>
        <v>1.8934799583550239</v>
      </c>
      <c r="O216" s="15">
        <f t="shared" si="892"/>
        <v>1.9442347735554404</v>
      </c>
      <c r="P216" s="15">
        <f t="shared" si="892"/>
        <v>1.9481389901093185</v>
      </c>
      <c r="Q216" s="15">
        <f t="shared" si="892"/>
        <v>1.8934799583550239</v>
      </c>
      <c r="R216" s="15">
        <f t="shared" si="892"/>
        <v>1.9442347735554404</v>
      </c>
      <c r="S216" s="15">
        <f t="shared" si="892"/>
        <v>1.9481389901093185</v>
      </c>
      <c r="T216" s="20">
        <f t="shared" si="893"/>
        <v>1.9286179073399277</v>
      </c>
      <c r="U216" s="40">
        <f t="shared" si="894"/>
        <v>2.7273684325725613E-2</v>
      </c>
      <c r="V216" s="109"/>
      <c r="W216" s="110">
        <v>55</v>
      </c>
      <c r="X216" s="20">
        <f>IFERROR(($N$18-N216)/W216,"")</f>
        <v>-8.1633618853816422E-4</v>
      </c>
      <c r="Y216" s="15">
        <f>IFERROR(($O$18-O216)/W216,"")</f>
        <v>-2.1650655435142651E-3</v>
      </c>
      <c r="Z216" s="15">
        <f>IFERROR(($P$18-P216)/W216,"")</f>
        <v>-1.8456296436515081E-3</v>
      </c>
      <c r="AA216" s="15">
        <f>IFERROR(($Q$18-Q216)/W216,"")</f>
        <v>-8.1633618853816422E-4</v>
      </c>
      <c r="AB216" s="15">
        <f>IFERROR(($R$18-R216)/W216,"")</f>
        <v>-2.1650655435142651E-3</v>
      </c>
      <c r="AC216" s="15">
        <f>IFERROR(($S$18-S216)/W216,"")</f>
        <v>-1.8456296436515081E-3</v>
      </c>
      <c r="AD216" s="20">
        <f t="shared" si="913"/>
        <v>-1.6090104585679791E-3</v>
      </c>
      <c r="AE216" s="40">
        <f t="shared" si="906"/>
        <v>6.3040253635641876E-4</v>
      </c>
      <c r="AG216" s="229"/>
      <c r="AH216" s="77">
        <f>'Sample ID'!$F$10</f>
        <v>1</v>
      </c>
      <c r="AI216" s="77">
        <f>IFERROR((X216*$AH$36),"")</f>
        <v>-8.1633618853816422E-4</v>
      </c>
      <c r="AJ216" s="77">
        <f t="shared" ref="AJ216" si="919">IFERROR((Y216*$AH$36),"")</f>
        <v>-2.1650655435142651E-3</v>
      </c>
      <c r="AK216" s="77">
        <f t="shared" ref="AK216" si="920">IFERROR((Z216*$AH$36),"")</f>
        <v>-1.8456296436515081E-3</v>
      </c>
      <c r="AL216" s="77">
        <f t="shared" ref="AL216" si="921">IFERROR((AA216*$AH$36),"")</f>
        <v>-8.1633618853816422E-4</v>
      </c>
      <c r="AM216" s="77">
        <f t="shared" ref="AM216" si="922">IFERROR((AB216*$AH$36),"")</f>
        <v>-2.1650655435142651E-3</v>
      </c>
      <c r="AN216" s="77">
        <f t="shared" ref="AN216" si="923">IFERROR((AC216*$AH$36),"")</f>
        <v>-1.8456296436515081E-3</v>
      </c>
      <c r="AO216" s="40">
        <f t="shared" si="905"/>
        <v>-1.6090104585679791E-3</v>
      </c>
      <c r="AP216" s="40">
        <f t="shared" si="912"/>
        <v>6.3040253635641876E-4</v>
      </c>
      <c r="AQ216" s="15"/>
      <c r="AR216" s="15"/>
    </row>
    <row r="217" spans="3:44">
      <c r="C217" s="232"/>
      <c r="D217" s="21" t="s">
        <v>21</v>
      </c>
      <c r="E217" s="22">
        <f>Data!B152</f>
        <v>1.292</v>
      </c>
      <c r="F217" s="22">
        <f>Data!C152</f>
        <v>1.292</v>
      </c>
      <c r="G217" s="22">
        <f>Data!D152</f>
        <v>1.2370000000000001</v>
      </c>
      <c r="H217" s="22">
        <f>Data!E152</f>
        <v>1.292</v>
      </c>
      <c r="I217" s="22">
        <f>Data!F152</f>
        <v>1.292</v>
      </c>
      <c r="J217" s="22">
        <f>Data!G152</f>
        <v>1.2370000000000001</v>
      </c>
      <c r="K217" s="22"/>
      <c r="L217" s="232"/>
      <c r="M217" s="130" t="s">
        <v>21</v>
      </c>
      <c r="N217" s="15">
        <f t="shared" si="892"/>
        <v>1.0687142113482564</v>
      </c>
      <c r="O217" s="15">
        <f t="shared" si="892"/>
        <v>1.0687142113482564</v>
      </c>
      <c r="P217" s="15">
        <f t="shared" si="892"/>
        <v>1.0150312337324314</v>
      </c>
      <c r="Q217" s="15">
        <f t="shared" si="892"/>
        <v>1.0687142113482564</v>
      </c>
      <c r="R217" s="15">
        <f t="shared" si="892"/>
        <v>1.0687142113482564</v>
      </c>
      <c r="S217" s="15">
        <f t="shared" si="892"/>
        <v>1.0150312337324314</v>
      </c>
      <c r="T217" s="20">
        <f t="shared" si="893"/>
        <v>1.0508198854763147</v>
      </c>
      <c r="U217" s="40">
        <f t="shared" si="894"/>
        <v>2.7721770437455422E-2</v>
      </c>
      <c r="V217" s="109"/>
      <c r="W217" s="110">
        <v>55</v>
      </c>
      <c r="X217" s="20">
        <f>IFERROR(($N$19-N217)/W217,"")</f>
        <v>1.0736595523165022E-2</v>
      </c>
      <c r="Y217" s="15">
        <f>IFERROR(($O$19-O217)/W217,"")</f>
        <v>1.1393213761771805E-2</v>
      </c>
      <c r="Z217" s="15">
        <f>IFERROR(($P$19-P217)/W217,"")</f>
        <v>1.1677156783872036E-2</v>
      </c>
      <c r="AA217" s="15">
        <f>IFERROR(($Q$19-Q217)/W217,"")</f>
        <v>1.0736595523165022E-2</v>
      </c>
      <c r="AB217" s="15">
        <f>IFERROR(($R$19-R217)/W217,"")</f>
        <v>1.1393213761771805E-2</v>
      </c>
      <c r="AC217" s="15">
        <f>IFERROR(($S$19-S217)/W217,"")</f>
        <v>1.1677156783872036E-2</v>
      </c>
      <c r="AD217" s="20">
        <f t="shared" si="913"/>
        <v>1.1268988689602953E-2</v>
      </c>
      <c r="AE217" s="40">
        <f t="shared" si="906"/>
        <v>4.3149764560396778E-4</v>
      </c>
      <c r="AG217" s="229"/>
      <c r="AH217" s="77">
        <f>'Sample ID'!$F$11</f>
        <v>0</v>
      </c>
      <c r="AI217" s="77">
        <f>IFERROR((X217*$AH$37),"")</f>
        <v>0</v>
      </c>
      <c r="AJ217" s="77">
        <f t="shared" ref="AJ217" si="924">IFERROR((Y217*$AH$37),"")</f>
        <v>0</v>
      </c>
      <c r="AK217" s="77">
        <f t="shared" ref="AK217" si="925">IFERROR((Z217*$AH$37),"")</f>
        <v>0</v>
      </c>
      <c r="AL217" s="77">
        <f t="shared" ref="AL217" si="926">IFERROR((AA217*$AH$37),"")</f>
        <v>0</v>
      </c>
      <c r="AM217" s="77">
        <f t="shared" ref="AM217" si="927">IFERROR((AB217*$AH$37),"")</f>
        <v>0</v>
      </c>
      <c r="AN217" s="77">
        <f t="shared" ref="AN217" si="928">IFERROR((AC217*$AH$37),"")</f>
        <v>0</v>
      </c>
      <c r="AO217" s="40">
        <f t="shared" si="905"/>
        <v>0</v>
      </c>
      <c r="AP217" s="40">
        <f t="shared" si="912"/>
        <v>0</v>
      </c>
      <c r="AQ217" s="15"/>
      <c r="AR217" s="15"/>
    </row>
    <row r="218" spans="3:44">
      <c r="C218" s="232"/>
      <c r="D218" s="21" t="s">
        <v>22</v>
      </c>
      <c r="E218" s="22">
        <f>Data!B153</f>
        <v>1.679</v>
      </c>
      <c r="F218" s="22">
        <f>Data!C153</f>
        <v>1.6779999999999999</v>
      </c>
      <c r="G218" s="22">
        <f>Data!D153</f>
        <v>1.7030000000000001</v>
      </c>
      <c r="H218" s="22">
        <f>Data!E153</f>
        <v>1.679</v>
      </c>
      <c r="I218" s="22">
        <f>Data!F153</f>
        <v>1.6779999999999999</v>
      </c>
      <c r="J218" s="22">
        <f>Data!G153</f>
        <v>1.7030000000000001</v>
      </c>
      <c r="K218" s="22"/>
      <c r="L218" s="232"/>
      <c r="M218" s="130" t="s">
        <v>22</v>
      </c>
      <c r="N218" s="15">
        <f t="shared" si="892"/>
        <v>1.4464471629359712</v>
      </c>
      <c r="O218" s="15">
        <f t="shared" si="892"/>
        <v>1.4454711087975016</v>
      </c>
      <c r="P218" s="15">
        <f t="shared" si="892"/>
        <v>1.4698724622592403</v>
      </c>
      <c r="Q218" s="15">
        <f t="shared" si="892"/>
        <v>1.4464471629359712</v>
      </c>
      <c r="R218" s="15">
        <f t="shared" si="892"/>
        <v>1.4454711087975016</v>
      </c>
      <c r="S218" s="15">
        <f t="shared" si="892"/>
        <v>1.4698724622592403</v>
      </c>
      <c r="T218" s="20">
        <f t="shared" si="893"/>
        <v>1.4539302446642377</v>
      </c>
      <c r="U218" s="40">
        <f t="shared" si="894"/>
        <v>1.2356501019467067E-2</v>
      </c>
      <c r="V218" s="109"/>
      <c r="W218" s="110">
        <v>55</v>
      </c>
      <c r="X218" s="20">
        <f>IFERROR(($N$20-N218)/W218,"")</f>
        <v>4.0461880649283076E-3</v>
      </c>
      <c r="Y218" s="15">
        <f>IFERROR(($O$20-O218)/W218,"")</f>
        <v>3.9752023094032475E-3</v>
      </c>
      <c r="Z218" s="15">
        <f>IFERROR(($P$20-P218)/W218,"")</f>
        <v>3.7444986039468068E-3</v>
      </c>
      <c r="AA218" s="15">
        <f>IFERROR(($Q$20-Q218)/W218,"")</f>
        <v>4.0461880649283076E-3</v>
      </c>
      <c r="AB218" s="15">
        <f>IFERROR(($R$20-R218)/W218,"")</f>
        <v>3.9752023094032475E-3</v>
      </c>
      <c r="AC218" s="15">
        <f>IFERROR(($S$20-S218)/W218,"")</f>
        <v>3.7444986039468068E-3</v>
      </c>
      <c r="AD218" s="20">
        <f t="shared" si="913"/>
        <v>3.9219629927594538E-3</v>
      </c>
      <c r="AE218" s="40">
        <f t="shared" si="906"/>
        <v>1.410813987578822E-4</v>
      </c>
      <c r="AG218" s="229"/>
      <c r="AH218" s="77">
        <f>'Sample ID'!$F$12</f>
        <v>0</v>
      </c>
      <c r="AI218" s="77">
        <f>IFERROR((X218*$AH$38),"")</f>
        <v>0</v>
      </c>
      <c r="AJ218" s="77">
        <f t="shared" ref="AJ218" si="929">IFERROR((Y218*$AH$38),"")</f>
        <v>0</v>
      </c>
      <c r="AK218" s="77">
        <f t="shared" ref="AK218" si="930">IFERROR((Z218*$AH$38),"")</f>
        <v>0</v>
      </c>
      <c r="AL218" s="77">
        <f t="shared" ref="AL218" si="931">IFERROR((AA218*$AH$38),"")</f>
        <v>0</v>
      </c>
      <c r="AM218" s="77">
        <f t="shared" ref="AM218" si="932">IFERROR((AB218*$AH$38),"")</f>
        <v>0</v>
      </c>
      <c r="AN218" s="77">
        <f t="shared" ref="AN218" si="933">IFERROR((AC218*$AH$38),"")</f>
        <v>0</v>
      </c>
      <c r="AO218" s="40">
        <f t="shared" si="905"/>
        <v>0</v>
      </c>
      <c r="AP218" s="40">
        <f t="shared" si="912"/>
        <v>0</v>
      </c>
      <c r="AQ218" s="15"/>
      <c r="AR218" s="15"/>
    </row>
    <row r="219" spans="3:44">
      <c r="C219" s="232"/>
      <c r="D219" s="21" t="s">
        <v>23</v>
      </c>
      <c r="E219" s="22">
        <f>Data!B154</f>
        <v>0</v>
      </c>
      <c r="F219" s="22">
        <f>Data!C154</f>
        <v>0</v>
      </c>
      <c r="G219" s="22">
        <f>Data!D154</f>
        <v>0</v>
      </c>
      <c r="H219" s="22">
        <f>Data!E154</f>
        <v>0</v>
      </c>
      <c r="I219" s="22">
        <f>Data!F154</f>
        <v>0</v>
      </c>
      <c r="J219" s="22">
        <f>Data!G154</f>
        <v>0</v>
      </c>
      <c r="K219" s="22"/>
      <c r="L219" s="232"/>
      <c r="M219" s="130" t="s">
        <v>23</v>
      </c>
      <c r="N219" s="15" t="str">
        <f t="shared" si="892"/>
        <v xml:space="preserve"> </v>
      </c>
      <c r="O219" s="15" t="str">
        <f t="shared" si="892"/>
        <v xml:space="preserve"> </v>
      </c>
      <c r="P219" s="15" t="str">
        <f t="shared" si="892"/>
        <v xml:space="preserve"> </v>
      </c>
      <c r="Q219" s="15" t="str">
        <f t="shared" si="892"/>
        <v xml:space="preserve"> </v>
      </c>
      <c r="R219" s="15" t="str">
        <f t="shared" si="892"/>
        <v xml:space="preserve"> </v>
      </c>
      <c r="S219" s="15" t="str">
        <f t="shared" si="892"/>
        <v xml:space="preserve"> </v>
      </c>
      <c r="T219" s="20" t="str">
        <f t="shared" si="893"/>
        <v/>
      </c>
      <c r="U219" s="40" t="str">
        <f t="shared" si="894"/>
        <v/>
      </c>
      <c r="V219" s="109"/>
      <c r="W219" s="110">
        <v>55</v>
      </c>
      <c r="X219" s="20" t="str">
        <f>IFERROR(($N$21-N219)/W219,"")</f>
        <v/>
      </c>
      <c r="Y219" s="15" t="str">
        <f>IFERROR(($O$21-O219)/W219,"")</f>
        <v/>
      </c>
      <c r="Z219" s="15" t="str">
        <f>IFERROR(($P$21-P219)/W219,"")</f>
        <v/>
      </c>
      <c r="AA219" s="15" t="str">
        <f>IFERROR(($Q$21-Q219)/W219,"")</f>
        <v/>
      </c>
      <c r="AB219" s="15" t="str">
        <f>IFERROR(($R$21-R219)/W219,"")</f>
        <v/>
      </c>
      <c r="AC219" s="15" t="str">
        <f>IFERROR(($S$21-S219)/W219,"")</f>
        <v/>
      </c>
      <c r="AD219" s="20" t="str">
        <f t="shared" si="913"/>
        <v/>
      </c>
      <c r="AE219" s="40" t="str">
        <f t="shared" si="906"/>
        <v/>
      </c>
      <c r="AG219" s="229"/>
      <c r="AH219" s="77">
        <f>'Sample ID'!$F$13</f>
        <v>0</v>
      </c>
      <c r="AI219" s="77" t="str">
        <f>IFERROR((X219*$AH$39),"")</f>
        <v/>
      </c>
      <c r="AJ219" s="77" t="str">
        <f t="shared" ref="AJ219" si="934">IFERROR((Y219*$AH$39),"")</f>
        <v/>
      </c>
      <c r="AK219" s="77" t="str">
        <f t="shared" ref="AK219" si="935">IFERROR((Z219*$AH$39),"")</f>
        <v/>
      </c>
      <c r="AL219" s="77" t="str">
        <f t="shared" ref="AL219" si="936">IFERROR((AA219*$AH$39),"")</f>
        <v/>
      </c>
      <c r="AM219" s="77" t="str">
        <f t="shared" ref="AM219" si="937">IFERROR((AB219*$AH$39),"")</f>
        <v/>
      </c>
      <c r="AN219" s="77" t="str">
        <f t="shared" ref="AN219" si="938">IFERROR((AC219*$AH$39),"")</f>
        <v/>
      </c>
      <c r="AO219" s="40" t="str">
        <f t="shared" si="905"/>
        <v/>
      </c>
      <c r="AP219" s="40" t="str">
        <f t="shared" si="912"/>
        <v/>
      </c>
      <c r="AQ219" s="15"/>
      <c r="AR219" s="15"/>
    </row>
    <row r="220" spans="3:44">
      <c r="C220" s="232"/>
      <c r="D220" s="39"/>
      <c r="E220" s="56">
        <v>7</v>
      </c>
      <c r="F220" s="56">
        <v>8</v>
      </c>
      <c r="G220" s="57">
        <v>9</v>
      </c>
      <c r="H220" s="56">
        <v>10</v>
      </c>
      <c r="I220" s="56">
        <v>11</v>
      </c>
      <c r="J220" s="57">
        <v>12</v>
      </c>
      <c r="K220" s="27"/>
      <c r="L220" s="232"/>
      <c r="M220" s="38"/>
      <c r="N220" s="59">
        <v>7</v>
      </c>
      <c r="O220" s="38">
        <v>8</v>
      </c>
      <c r="P220" s="38">
        <v>9</v>
      </c>
      <c r="Q220" s="38">
        <v>10</v>
      </c>
      <c r="R220" s="38">
        <v>11</v>
      </c>
      <c r="S220" s="50">
        <v>12</v>
      </c>
      <c r="T220" s="38" t="s">
        <v>24</v>
      </c>
      <c r="U220" s="51" t="s">
        <v>3</v>
      </c>
      <c r="V220" s="109"/>
      <c r="W220" s="98"/>
      <c r="X220" s="38">
        <v>7</v>
      </c>
      <c r="Y220" s="38">
        <v>8</v>
      </c>
      <c r="Z220" s="38">
        <v>9</v>
      </c>
      <c r="AA220" s="38">
        <v>10</v>
      </c>
      <c r="AB220" s="38">
        <v>11</v>
      </c>
      <c r="AC220" s="50">
        <v>12</v>
      </c>
      <c r="AD220" s="50" t="s">
        <v>49</v>
      </c>
      <c r="AE220" s="51" t="s">
        <v>3</v>
      </c>
      <c r="AG220" s="229"/>
      <c r="AH220" s="119"/>
      <c r="AI220" s="119"/>
      <c r="AJ220" s="119"/>
      <c r="AK220" s="119"/>
      <c r="AL220" s="119"/>
      <c r="AM220" s="119"/>
      <c r="AN220" s="119"/>
      <c r="AO220" s="100" t="str">
        <f>IFERROR(#REF!/(#REF!/W220), " ")</f>
        <v xml:space="preserve"> </v>
      </c>
      <c r="AP220" s="51" t="s">
        <v>3</v>
      </c>
      <c r="AQ220" s="15"/>
      <c r="AR220" s="15"/>
    </row>
    <row r="221" spans="3:44">
      <c r="C221" s="232"/>
      <c r="D221" s="21" t="s">
        <v>16</v>
      </c>
      <c r="E221" s="22">
        <f>Data!H147</f>
        <v>0</v>
      </c>
      <c r="F221" s="22">
        <f>Data!I147</f>
        <v>0</v>
      </c>
      <c r="G221" s="22">
        <f>Data!J147</f>
        <v>0</v>
      </c>
      <c r="H221" s="22">
        <f>Data!K147</f>
        <v>0</v>
      </c>
      <c r="I221" s="22">
        <f>Data!L147</f>
        <v>0</v>
      </c>
      <c r="J221" s="22">
        <f>Data!M147</f>
        <v>0</v>
      </c>
      <c r="K221" s="22"/>
      <c r="L221" s="232"/>
      <c r="M221" s="130" t="s">
        <v>16</v>
      </c>
      <c r="N221" s="15" t="str">
        <f t="shared" ref="N221:S228" si="939">IF(((E221-$P$11)/$P$10)&gt;0,((E221-$P$11)/$P$10)," ")</f>
        <v xml:space="preserve"> </v>
      </c>
      <c r="O221" s="15" t="str">
        <f t="shared" si="939"/>
        <v xml:space="preserve"> </v>
      </c>
      <c r="P221" s="15" t="str">
        <f t="shared" si="939"/>
        <v xml:space="preserve"> </v>
      </c>
      <c r="Q221" s="15" t="str">
        <f t="shared" si="939"/>
        <v xml:space="preserve"> </v>
      </c>
      <c r="R221" s="15" t="str">
        <f t="shared" si="939"/>
        <v xml:space="preserve"> </v>
      </c>
      <c r="S221" s="15" t="str">
        <f t="shared" si="939"/>
        <v xml:space="preserve"> </v>
      </c>
      <c r="T221" s="20" t="str">
        <f t="shared" si="893"/>
        <v/>
      </c>
      <c r="U221" s="40" t="str">
        <f t="shared" si="894"/>
        <v/>
      </c>
      <c r="V221" s="109"/>
      <c r="W221" s="110">
        <v>55</v>
      </c>
      <c r="X221" s="20" t="str">
        <f>IFERROR(($N$23-N221)/W221,"")</f>
        <v/>
      </c>
      <c r="Y221" s="15" t="str">
        <f>IFERROR(($O$23-O221)/W221,"")</f>
        <v/>
      </c>
      <c r="Z221" s="15" t="str">
        <f>IFERROR(($P$23-P221)/W221,"")</f>
        <v/>
      </c>
      <c r="AA221" s="15" t="str">
        <f>IFERROR(($Q$23-Q221)/W221,"")</f>
        <v/>
      </c>
      <c r="AB221" s="15" t="str">
        <f>IFERROR(($R$23-R221)/W221,"")</f>
        <v/>
      </c>
      <c r="AC221" s="15" t="str">
        <f>IFERROR(($S$23-S221)/W221,"")</f>
        <v/>
      </c>
      <c r="AD221" s="20" t="str">
        <f t="shared" ref="AD221:AD222" si="940">IFERROR(AVERAGE(X221:AC221), "")</f>
        <v/>
      </c>
      <c r="AE221" s="40" t="str">
        <f t="shared" ref="AE221:AE222" si="941">IFERROR(STDEV(X221:AC221), "")</f>
        <v/>
      </c>
      <c r="AG221" s="229"/>
      <c r="AH221" s="77">
        <f>'Sample ID'!$F$14</f>
        <v>0</v>
      </c>
      <c r="AI221" s="77" t="str">
        <f>IFERROR((X221*$AH$41),"")</f>
        <v/>
      </c>
      <c r="AJ221" s="77" t="str">
        <f t="shared" ref="AJ221" si="942">IFERROR((Y221*$AH$41),"")</f>
        <v/>
      </c>
      <c r="AK221" s="77" t="str">
        <f t="shared" ref="AK221" si="943">IFERROR((Z221*$AH$41),"")</f>
        <v/>
      </c>
      <c r="AL221" s="77" t="str">
        <f t="shared" ref="AL221" si="944">IFERROR((AA221*$AH$41),"")</f>
        <v/>
      </c>
      <c r="AM221" s="77" t="str">
        <f t="shared" ref="AM221" si="945">IFERROR((AB221*$AH$41),"")</f>
        <v/>
      </c>
      <c r="AN221" s="77" t="str">
        <f t="shared" ref="AN221" si="946">IFERROR((AC221*$AH$41),"")</f>
        <v/>
      </c>
      <c r="AO221" s="40" t="str">
        <f>IFERROR(AVERAGE(AI221:AN221),"")</f>
        <v/>
      </c>
      <c r="AP221" s="40" t="str">
        <f t="shared" ref="AP221:AP222" si="947">IFERROR(STDEV(AI221:AN221), "")</f>
        <v/>
      </c>
      <c r="AQ221" s="15"/>
      <c r="AR221" s="15"/>
    </row>
    <row r="222" spans="3:44">
      <c r="C222" s="232"/>
      <c r="D222" s="21" t="s">
        <v>17</v>
      </c>
      <c r="E222" s="22">
        <f>Data!H148</f>
        <v>0</v>
      </c>
      <c r="F222" s="22">
        <f>Data!I148</f>
        <v>0</v>
      </c>
      <c r="G222" s="22">
        <f>Data!J148</f>
        <v>0</v>
      </c>
      <c r="H222" s="22">
        <f>Data!K148</f>
        <v>0</v>
      </c>
      <c r="I222" s="22">
        <f>Data!L148</f>
        <v>0</v>
      </c>
      <c r="J222" s="22">
        <f>Data!M148</f>
        <v>0</v>
      </c>
      <c r="K222" s="22"/>
      <c r="L222" s="232"/>
      <c r="M222" s="130" t="s">
        <v>17</v>
      </c>
      <c r="N222" s="15" t="str">
        <f t="shared" si="939"/>
        <v xml:space="preserve"> </v>
      </c>
      <c r="O222" s="15" t="str">
        <f t="shared" si="939"/>
        <v xml:space="preserve"> </v>
      </c>
      <c r="P222" s="15" t="str">
        <f t="shared" si="939"/>
        <v xml:space="preserve"> </v>
      </c>
      <c r="Q222" s="15" t="str">
        <f t="shared" si="939"/>
        <v xml:space="preserve"> </v>
      </c>
      <c r="R222" s="15" t="str">
        <f t="shared" si="939"/>
        <v xml:space="preserve"> </v>
      </c>
      <c r="S222" s="15" t="str">
        <f t="shared" si="939"/>
        <v xml:space="preserve"> </v>
      </c>
      <c r="T222" s="20" t="str">
        <f t="shared" si="893"/>
        <v/>
      </c>
      <c r="U222" s="40" t="str">
        <f t="shared" si="894"/>
        <v/>
      </c>
      <c r="V222" s="109"/>
      <c r="W222" s="110">
        <v>55</v>
      </c>
      <c r="X222" s="20" t="str">
        <f>IFERROR(($N$24-N222)/W222,"")</f>
        <v/>
      </c>
      <c r="Y222" s="15" t="str">
        <f>IFERROR(($O$24-O222)/W222,"")</f>
        <v/>
      </c>
      <c r="Z222" s="15" t="str">
        <f>IFERROR(($P$24-P222)/W222,"")</f>
        <v/>
      </c>
      <c r="AA222" s="15" t="str">
        <f>IFERROR(($Q$24-Q222)/W222,"")</f>
        <v/>
      </c>
      <c r="AB222" s="15" t="str">
        <f>IFERROR(($R$24-R222)/W222,"")</f>
        <v/>
      </c>
      <c r="AC222" s="15" t="str">
        <f>IFERROR(($S$24-S222)/W222,"")</f>
        <v/>
      </c>
      <c r="AD222" s="20" t="str">
        <f t="shared" si="940"/>
        <v/>
      </c>
      <c r="AE222" s="40" t="str">
        <f t="shared" si="941"/>
        <v/>
      </c>
      <c r="AG222" s="229"/>
      <c r="AH222" s="77">
        <f>'Sample ID'!$F$15</f>
        <v>0</v>
      </c>
      <c r="AI222" s="77" t="str">
        <f>IFERROR((X222*$AH$42),"")</f>
        <v/>
      </c>
      <c r="AJ222" s="77" t="str">
        <f t="shared" ref="AJ222" si="948">IFERROR((Y222*$AH$42),"")</f>
        <v/>
      </c>
      <c r="AK222" s="77" t="str">
        <f t="shared" ref="AK222" si="949">IFERROR((Z222*$AH$42),"")</f>
        <v/>
      </c>
      <c r="AL222" s="77" t="str">
        <f t="shared" ref="AL222" si="950">IFERROR((AA222*$AH$42),"")</f>
        <v/>
      </c>
      <c r="AM222" s="77" t="str">
        <f t="shared" ref="AM222" si="951">IFERROR((AB222*$AH$42),"")</f>
        <v/>
      </c>
      <c r="AN222" s="77" t="str">
        <f t="shared" ref="AN222" si="952">IFERROR((AC222*$AH$42),"")</f>
        <v/>
      </c>
      <c r="AO222" s="40" t="str">
        <f t="shared" ref="AO222:AO228" si="953">IFERROR(AVERAGE(AI222:AN222),"")</f>
        <v/>
      </c>
      <c r="AP222" s="40" t="str">
        <f t="shared" si="947"/>
        <v/>
      </c>
      <c r="AQ222" s="15"/>
      <c r="AR222" s="15"/>
    </row>
    <row r="223" spans="3:44">
      <c r="C223" s="232"/>
      <c r="D223" s="21" t="s">
        <v>18</v>
      </c>
      <c r="E223" s="22">
        <f>Data!H149</f>
        <v>0</v>
      </c>
      <c r="F223" s="22">
        <f>Data!I149</f>
        <v>0</v>
      </c>
      <c r="G223" s="22">
        <f>Data!J149</f>
        <v>0</v>
      </c>
      <c r="H223" s="22">
        <f>Data!K149</f>
        <v>0</v>
      </c>
      <c r="I223" s="22">
        <f>Data!L149</f>
        <v>0</v>
      </c>
      <c r="J223" s="22">
        <f>Data!M149</f>
        <v>0</v>
      </c>
      <c r="K223" s="22"/>
      <c r="L223" s="232"/>
      <c r="M223" s="130" t="s">
        <v>18</v>
      </c>
      <c r="N223" s="15" t="str">
        <f t="shared" si="939"/>
        <v xml:space="preserve"> </v>
      </c>
      <c r="O223" s="15" t="str">
        <f t="shared" si="939"/>
        <v xml:space="preserve"> </v>
      </c>
      <c r="P223" s="15" t="str">
        <f t="shared" si="939"/>
        <v xml:space="preserve"> </v>
      </c>
      <c r="Q223" s="15" t="str">
        <f t="shared" si="939"/>
        <v xml:space="preserve"> </v>
      </c>
      <c r="R223" s="15" t="str">
        <f t="shared" si="939"/>
        <v xml:space="preserve"> </v>
      </c>
      <c r="S223" s="15" t="str">
        <f t="shared" si="939"/>
        <v xml:space="preserve"> </v>
      </c>
      <c r="T223" s="20" t="str">
        <f t="shared" si="893"/>
        <v/>
      </c>
      <c r="U223" s="40" t="str">
        <f t="shared" si="894"/>
        <v/>
      </c>
      <c r="V223" s="109"/>
      <c r="W223" s="110">
        <v>55</v>
      </c>
      <c r="X223" s="20" t="str">
        <f>IFERROR(($N$25-N223)/W223,"")</f>
        <v/>
      </c>
      <c r="Y223" s="15" t="str">
        <f>IFERROR(($O$25-O223)/W223,"")</f>
        <v/>
      </c>
      <c r="Z223" s="15" t="str">
        <f>IFERROR(($P$25-P223)/W223,"")</f>
        <v/>
      </c>
      <c r="AA223" s="15" t="str">
        <f>IFERROR(($Q$25-Q223)/W223,"")</f>
        <v/>
      </c>
      <c r="AB223" s="15" t="str">
        <f>IFERROR(($R$25-R223)/W223,"")</f>
        <v/>
      </c>
      <c r="AC223" s="15" t="str">
        <f>IFERROR(($S$25-S223)/W223,"")</f>
        <v/>
      </c>
      <c r="AD223" s="20" t="str">
        <f>IFERROR(AVERAGE(X223:AC223), "")</f>
        <v/>
      </c>
      <c r="AE223" s="40" t="str">
        <f>IFERROR(STDEV(X223:AC223), "")</f>
        <v/>
      </c>
      <c r="AG223" s="229"/>
      <c r="AH223" s="77">
        <f>'Sample ID'!$F$16</f>
        <v>0</v>
      </c>
      <c r="AI223" s="77" t="str">
        <f>IFERROR((X223*$AH$43),"")</f>
        <v/>
      </c>
      <c r="AJ223" s="77" t="str">
        <f t="shared" ref="AJ223" si="954">IFERROR((Y223*$AH$43),"")</f>
        <v/>
      </c>
      <c r="AK223" s="77" t="str">
        <f t="shared" ref="AK223" si="955">IFERROR((Z223*$AH$43),"")</f>
        <v/>
      </c>
      <c r="AL223" s="77" t="str">
        <f t="shared" ref="AL223" si="956">IFERROR((AA223*$AH$43),"")</f>
        <v/>
      </c>
      <c r="AM223" s="77" t="str">
        <f t="shared" ref="AM223" si="957">IFERROR((AB223*$AH$43),"")</f>
        <v/>
      </c>
      <c r="AN223" s="77" t="str">
        <f t="shared" ref="AN223" si="958">IFERROR((AC223*$AH$43),"")</f>
        <v/>
      </c>
      <c r="AO223" s="40" t="str">
        <f t="shared" si="953"/>
        <v/>
      </c>
      <c r="AP223" s="40" t="str">
        <f>IFERROR(STDEV(AI223:AN223), "")</f>
        <v/>
      </c>
      <c r="AQ223" s="15"/>
      <c r="AR223" s="15"/>
    </row>
    <row r="224" spans="3:44">
      <c r="C224" s="232"/>
      <c r="D224" s="21" t="s">
        <v>19</v>
      </c>
      <c r="E224" s="22">
        <f>Data!H150</f>
        <v>0</v>
      </c>
      <c r="F224" s="22">
        <f>Data!I150</f>
        <v>0</v>
      </c>
      <c r="G224" s="22">
        <f>Data!J150</f>
        <v>0</v>
      </c>
      <c r="H224" s="22">
        <f>Data!K150</f>
        <v>0</v>
      </c>
      <c r="I224" s="22">
        <f>Data!L150</f>
        <v>0</v>
      </c>
      <c r="J224" s="22">
        <f>Data!M150</f>
        <v>0</v>
      </c>
      <c r="K224" s="22"/>
      <c r="L224" s="232"/>
      <c r="M224" s="130" t="s">
        <v>19</v>
      </c>
      <c r="N224" s="15" t="str">
        <f t="shared" si="939"/>
        <v xml:space="preserve"> </v>
      </c>
      <c r="O224" s="15" t="str">
        <f t="shared" si="939"/>
        <v xml:space="preserve"> </v>
      </c>
      <c r="P224" s="15" t="str">
        <f t="shared" si="939"/>
        <v xml:space="preserve"> </v>
      </c>
      <c r="Q224" s="15" t="str">
        <f t="shared" si="939"/>
        <v xml:space="preserve"> </v>
      </c>
      <c r="R224" s="15" t="str">
        <f t="shared" si="939"/>
        <v xml:space="preserve"> </v>
      </c>
      <c r="S224" s="15" t="str">
        <f t="shared" si="939"/>
        <v xml:space="preserve"> </v>
      </c>
      <c r="T224" s="20" t="str">
        <f t="shared" si="893"/>
        <v/>
      </c>
      <c r="U224" s="40" t="str">
        <f t="shared" si="894"/>
        <v/>
      </c>
      <c r="V224" s="109"/>
      <c r="W224" s="110">
        <v>55</v>
      </c>
      <c r="X224" s="20" t="str">
        <f>IFERROR(($N$26-N224)/W224,"")</f>
        <v/>
      </c>
      <c r="Y224" s="15" t="str">
        <f>IFERROR(($O$26-O224)/W224,"")</f>
        <v/>
      </c>
      <c r="Z224" s="15" t="str">
        <f>IFERROR(($P$26-P224)/W224,"")</f>
        <v/>
      </c>
      <c r="AA224" s="15" t="str">
        <f>IFERROR(($Q$17-Q224)/W224,"")</f>
        <v/>
      </c>
      <c r="AB224" s="15" t="str">
        <f>IFERROR(($R$26-R224)/W224,"")</f>
        <v/>
      </c>
      <c r="AC224" s="15" t="str">
        <f>IFERROR(($S$26-S224)/W224,"")</f>
        <v/>
      </c>
      <c r="AD224" s="20" t="str">
        <f t="shared" ref="AD224:AD227" si="959">IFERROR(AVERAGE(X224:AC224), "")</f>
        <v/>
      </c>
      <c r="AE224" s="40" t="str">
        <f t="shared" ref="AE224:AE228" si="960">IFERROR(STDEV(X224:AC224), "")</f>
        <v/>
      </c>
      <c r="AG224" s="229"/>
      <c r="AH224" s="77">
        <f>'Sample ID'!$F$17</f>
        <v>0</v>
      </c>
      <c r="AI224" s="77" t="str">
        <f>IFERROR((X224*$AH$44),"")</f>
        <v/>
      </c>
      <c r="AJ224" s="77" t="str">
        <f t="shared" ref="AJ224" si="961">IFERROR((Y224*$AH$44),"")</f>
        <v/>
      </c>
      <c r="AK224" s="77" t="str">
        <f t="shared" ref="AK224" si="962">IFERROR((Z224*$AH$44),"")</f>
        <v/>
      </c>
      <c r="AL224" s="77" t="str">
        <f t="shared" ref="AL224" si="963">IFERROR((AA224*$AH$44),"")</f>
        <v/>
      </c>
      <c r="AM224" s="77" t="str">
        <f t="shared" ref="AM224" si="964">IFERROR((AB224*$AH$44),"")</f>
        <v/>
      </c>
      <c r="AN224" s="77" t="str">
        <f t="shared" ref="AN224" si="965">IFERROR((AC224*$AH$44),"")</f>
        <v/>
      </c>
      <c r="AO224" s="40" t="str">
        <f t="shared" si="953"/>
        <v/>
      </c>
      <c r="AP224" s="40" t="str">
        <f t="shared" ref="AP224:AP228" si="966">IFERROR(STDEV(AI224:AN224), "")</f>
        <v/>
      </c>
      <c r="AQ224" s="15"/>
      <c r="AR224" s="15"/>
    </row>
    <row r="225" spans="3:44">
      <c r="C225" s="232"/>
      <c r="D225" s="21" t="s">
        <v>20</v>
      </c>
      <c r="E225" s="22">
        <f>Data!H151</f>
        <v>0</v>
      </c>
      <c r="F225" s="22">
        <f>Data!I151</f>
        <v>0</v>
      </c>
      <c r="G225" s="22">
        <f>Data!J151</f>
        <v>0</v>
      </c>
      <c r="H225" s="22">
        <f>Data!K151</f>
        <v>0</v>
      </c>
      <c r="I225" s="22">
        <f>Data!L151</f>
        <v>0</v>
      </c>
      <c r="J225" s="22">
        <f>Data!M151</f>
        <v>0</v>
      </c>
      <c r="K225" s="22"/>
      <c r="L225" s="232"/>
      <c r="M225" s="130" t="s">
        <v>20</v>
      </c>
      <c r="N225" s="15" t="str">
        <f t="shared" si="939"/>
        <v xml:space="preserve"> </v>
      </c>
      <c r="O225" s="15" t="str">
        <f t="shared" si="939"/>
        <v xml:space="preserve"> </v>
      </c>
      <c r="P225" s="15" t="str">
        <f t="shared" si="939"/>
        <v xml:space="preserve"> </v>
      </c>
      <c r="Q225" s="15" t="str">
        <f t="shared" si="939"/>
        <v xml:space="preserve"> </v>
      </c>
      <c r="R225" s="15" t="str">
        <f t="shared" si="939"/>
        <v xml:space="preserve"> </v>
      </c>
      <c r="S225" s="15" t="str">
        <f t="shared" si="939"/>
        <v xml:space="preserve"> </v>
      </c>
      <c r="T225" s="20" t="str">
        <f t="shared" si="893"/>
        <v/>
      </c>
      <c r="U225" s="40" t="str">
        <f t="shared" si="894"/>
        <v/>
      </c>
      <c r="V225" s="109"/>
      <c r="W225" s="110">
        <v>55</v>
      </c>
      <c r="X225" s="20" t="str">
        <f>IFERROR(($N$27-N225)/W225,"")</f>
        <v/>
      </c>
      <c r="Y225" s="15" t="str">
        <f>IFERROR(($O$27-O225)/W225,"")</f>
        <v/>
      </c>
      <c r="Z225" s="15" t="str">
        <f>IFERROR(($P$27-P225)/W225,"")</f>
        <v/>
      </c>
      <c r="AA225" s="15" t="str">
        <f>IFERROR(($Q$18-Q225)/W225,"")</f>
        <v/>
      </c>
      <c r="AB225" s="15" t="str">
        <f>IFERROR(($R$27-R225)/W225,"")</f>
        <v/>
      </c>
      <c r="AC225" s="15" t="str">
        <f>IFERROR(($S$27-S225)/W225,"")</f>
        <v/>
      </c>
      <c r="AD225" s="20" t="str">
        <f t="shared" si="959"/>
        <v/>
      </c>
      <c r="AE225" s="40" t="str">
        <f t="shared" si="960"/>
        <v/>
      </c>
      <c r="AG225" s="229"/>
      <c r="AH225" s="77">
        <f>'Sample ID'!$F$18</f>
        <v>0</v>
      </c>
      <c r="AI225" s="77" t="str">
        <f>IFERROR((X225*$AH$45),"")</f>
        <v/>
      </c>
      <c r="AJ225" s="77" t="str">
        <f t="shared" ref="AJ225" si="967">IFERROR((Y225*$AH$45),"")</f>
        <v/>
      </c>
      <c r="AK225" s="77" t="str">
        <f t="shared" ref="AK225" si="968">IFERROR((Z225*$AH$45),"")</f>
        <v/>
      </c>
      <c r="AL225" s="77" t="str">
        <f t="shared" ref="AL225" si="969">IFERROR((AA225*$AH$45),"")</f>
        <v/>
      </c>
      <c r="AM225" s="77" t="str">
        <f t="shared" ref="AM225" si="970">IFERROR((AB225*$AH$45),"")</f>
        <v/>
      </c>
      <c r="AN225" s="77" t="str">
        <f t="shared" ref="AN225" si="971">IFERROR((AC225*$AH$45),"")</f>
        <v/>
      </c>
      <c r="AO225" s="40" t="str">
        <f t="shared" si="953"/>
        <v/>
      </c>
      <c r="AP225" s="40" t="str">
        <f t="shared" si="966"/>
        <v/>
      </c>
      <c r="AQ225" s="15"/>
      <c r="AR225" s="15"/>
    </row>
    <row r="226" spans="3:44">
      <c r="C226" s="232"/>
      <c r="D226" s="21" t="s">
        <v>21</v>
      </c>
      <c r="E226" s="22">
        <f>Data!H152</f>
        <v>0</v>
      </c>
      <c r="F226" s="22">
        <f>Data!I152</f>
        <v>0</v>
      </c>
      <c r="G226" s="22">
        <f>Data!J152</f>
        <v>0</v>
      </c>
      <c r="H226" s="22">
        <f>Data!K152</f>
        <v>0</v>
      </c>
      <c r="I226" s="22">
        <f>Data!L152</f>
        <v>0</v>
      </c>
      <c r="J226" s="22">
        <f>Data!M152</f>
        <v>0</v>
      </c>
      <c r="K226" s="22"/>
      <c r="L226" s="232"/>
      <c r="M226" s="130" t="s">
        <v>21</v>
      </c>
      <c r="N226" s="15" t="str">
        <f t="shared" si="939"/>
        <v xml:space="preserve"> </v>
      </c>
      <c r="O226" s="15" t="str">
        <f t="shared" si="939"/>
        <v xml:space="preserve"> </v>
      </c>
      <c r="P226" s="15" t="str">
        <f t="shared" si="939"/>
        <v xml:space="preserve"> </v>
      </c>
      <c r="Q226" s="15" t="str">
        <f t="shared" si="939"/>
        <v xml:space="preserve"> </v>
      </c>
      <c r="R226" s="15" t="str">
        <f t="shared" si="939"/>
        <v xml:space="preserve"> </v>
      </c>
      <c r="S226" s="15" t="str">
        <f t="shared" si="939"/>
        <v xml:space="preserve"> </v>
      </c>
      <c r="T226" s="20" t="str">
        <f t="shared" si="893"/>
        <v/>
      </c>
      <c r="U226" s="40" t="str">
        <f t="shared" si="894"/>
        <v/>
      </c>
      <c r="V226" s="109"/>
      <c r="W226" s="110">
        <v>55</v>
      </c>
      <c r="X226" s="20" t="str">
        <f>IFERROR(($N$28-N226)/W226,"")</f>
        <v/>
      </c>
      <c r="Y226" s="15" t="str">
        <f>IFERROR(($O$28-O226)/W226,"")</f>
        <v/>
      </c>
      <c r="Z226" s="15" t="str">
        <f>IFERROR(($P$28-P226)/W226,"")</f>
        <v/>
      </c>
      <c r="AA226" s="15" t="str">
        <f>IFERROR(($Q$19-Q226)/W226,"")</f>
        <v/>
      </c>
      <c r="AB226" s="15" t="str">
        <f>IFERROR(($R$28-R226)/W226,"")</f>
        <v/>
      </c>
      <c r="AC226" s="15" t="str">
        <f>IFERROR(($S$28-S226)/W226,"")</f>
        <v/>
      </c>
      <c r="AD226" s="20" t="str">
        <f t="shared" si="959"/>
        <v/>
      </c>
      <c r="AE226" s="40" t="str">
        <f t="shared" si="960"/>
        <v/>
      </c>
      <c r="AG226" s="229"/>
      <c r="AH226" s="77">
        <f>'Sample ID'!$F$19</f>
        <v>0</v>
      </c>
      <c r="AI226" s="77" t="str">
        <f>IFERROR((X226*$AH$46),"")</f>
        <v/>
      </c>
      <c r="AJ226" s="77" t="str">
        <f t="shared" ref="AJ226" si="972">IFERROR((Y226*$AH$46),"")</f>
        <v/>
      </c>
      <c r="AK226" s="77" t="str">
        <f t="shared" ref="AK226" si="973">IFERROR((Z226*$AH$46),"")</f>
        <v/>
      </c>
      <c r="AL226" s="77" t="str">
        <f t="shared" ref="AL226" si="974">IFERROR((AA226*$AH$46),"")</f>
        <v/>
      </c>
      <c r="AM226" s="77" t="str">
        <f t="shared" ref="AM226" si="975">IFERROR((AB226*$AH$46),"")</f>
        <v/>
      </c>
      <c r="AN226" s="77" t="str">
        <f t="shared" ref="AN226" si="976">IFERROR((AC226*$AH$46),"")</f>
        <v/>
      </c>
      <c r="AO226" s="40" t="str">
        <f t="shared" si="953"/>
        <v/>
      </c>
      <c r="AP226" s="40" t="str">
        <f t="shared" si="966"/>
        <v/>
      </c>
      <c r="AQ226" s="15"/>
      <c r="AR226" s="15"/>
    </row>
    <row r="227" spans="3:44">
      <c r="C227" s="232"/>
      <c r="D227" s="21" t="s">
        <v>22</v>
      </c>
      <c r="E227" s="22">
        <f>Data!H153</f>
        <v>0</v>
      </c>
      <c r="F227" s="22">
        <f>Data!I153</f>
        <v>0</v>
      </c>
      <c r="G227" s="22">
        <f>Data!J153</f>
        <v>0</v>
      </c>
      <c r="H227" s="22">
        <f>Data!K153</f>
        <v>0</v>
      </c>
      <c r="I227" s="22">
        <f>Data!L153</f>
        <v>0</v>
      </c>
      <c r="J227" s="22">
        <f>Data!M153</f>
        <v>0</v>
      </c>
      <c r="K227" s="22"/>
      <c r="L227" s="232"/>
      <c r="M227" s="130" t="s">
        <v>22</v>
      </c>
      <c r="N227" s="15" t="str">
        <f t="shared" si="939"/>
        <v xml:space="preserve"> </v>
      </c>
      <c r="O227" s="15" t="str">
        <f t="shared" si="939"/>
        <v xml:space="preserve"> </v>
      </c>
      <c r="P227" s="15" t="str">
        <f t="shared" si="939"/>
        <v xml:space="preserve"> </v>
      </c>
      <c r="Q227" s="15" t="str">
        <f t="shared" si="939"/>
        <v xml:space="preserve"> </v>
      </c>
      <c r="R227" s="15" t="str">
        <f t="shared" si="939"/>
        <v xml:space="preserve"> </v>
      </c>
      <c r="S227" s="15" t="str">
        <f t="shared" si="939"/>
        <v xml:space="preserve"> </v>
      </c>
      <c r="T227" s="20" t="str">
        <f t="shared" si="893"/>
        <v/>
      </c>
      <c r="U227" s="40" t="str">
        <f t="shared" si="894"/>
        <v/>
      </c>
      <c r="V227" s="109"/>
      <c r="W227" s="110">
        <v>55</v>
      </c>
      <c r="X227" s="20" t="str">
        <f>IFERROR(($N$29-N227)/W227,"")</f>
        <v/>
      </c>
      <c r="Y227" s="15" t="str">
        <f>IFERROR(($O$29-O227)/W227,"")</f>
        <v/>
      </c>
      <c r="Z227" s="15" t="str">
        <f>IFERROR(($P$29-P227)/W227,"")</f>
        <v/>
      </c>
      <c r="AA227" s="15" t="str">
        <f>IFERROR(($Q$20-Q227)/W227,"")</f>
        <v/>
      </c>
      <c r="AB227" s="15" t="str">
        <f>IFERROR(($R$29-R227)/W227,"")</f>
        <v/>
      </c>
      <c r="AC227" s="15" t="str">
        <f>IFERROR(($S$29-S227)/W227,"")</f>
        <v/>
      </c>
      <c r="AD227" s="20" t="str">
        <f t="shared" si="959"/>
        <v/>
      </c>
      <c r="AE227" s="40" t="str">
        <f t="shared" si="960"/>
        <v/>
      </c>
      <c r="AG227" s="229"/>
      <c r="AH227" s="77">
        <f>'Sample ID'!$F$20</f>
        <v>0</v>
      </c>
      <c r="AI227" s="77" t="str">
        <f>IFERROR((X227*$AH$47),"")</f>
        <v/>
      </c>
      <c r="AJ227" s="77" t="str">
        <f t="shared" ref="AJ227" si="977">IFERROR((Y227*$AH$47),"")</f>
        <v/>
      </c>
      <c r="AK227" s="77" t="str">
        <f t="shared" ref="AK227" si="978">IFERROR((Z227*$AH$47),"")</f>
        <v/>
      </c>
      <c r="AL227" s="77" t="str">
        <f t="shared" ref="AL227" si="979">IFERROR((AA227*$AH$47),"")</f>
        <v/>
      </c>
      <c r="AM227" s="77" t="str">
        <f t="shared" ref="AM227" si="980">IFERROR((AB227*$AH$47),"")</f>
        <v/>
      </c>
      <c r="AN227" s="77" t="str">
        <f t="shared" ref="AN227" si="981">IFERROR((AC227*$AH$47),"")</f>
        <v/>
      </c>
      <c r="AO227" s="40" t="str">
        <f t="shared" si="953"/>
        <v/>
      </c>
      <c r="AP227" s="40" t="str">
        <f t="shared" si="966"/>
        <v/>
      </c>
      <c r="AQ227" s="15"/>
      <c r="AR227" s="15"/>
    </row>
    <row r="228" spans="3:44">
      <c r="C228" s="232"/>
      <c r="D228" s="21" t="s">
        <v>23</v>
      </c>
      <c r="E228" s="22">
        <f>Data!H154</f>
        <v>0</v>
      </c>
      <c r="F228" s="22">
        <f>Data!I154</f>
        <v>0</v>
      </c>
      <c r="G228" s="22">
        <f>Data!J154</f>
        <v>0</v>
      </c>
      <c r="H228" s="22">
        <f>Data!K154</f>
        <v>0</v>
      </c>
      <c r="I228" s="22">
        <f>Data!L154</f>
        <v>0</v>
      </c>
      <c r="J228" s="22">
        <f>Data!M154</f>
        <v>0</v>
      </c>
      <c r="K228" s="22"/>
      <c r="L228" s="232"/>
      <c r="M228" s="130" t="s">
        <v>23</v>
      </c>
      <c r="N228" s="15" t="str">
        <f t="shared" si="939"/>
        <v xml:space="preserve"> </v>
      </c>
      <c r="O228" s="15" t="str">
        <f t="shared" si="939"/>
        <v xml:space="preserve"> </v>
      </c>
      <c r="P228" s="15" t="str">
        <f t="shared" si="939"/>
        <v xml:space="preserve"> </v>
      </c>
      <c r="Q228" s="15" t="str">
        <f t="shared" si="939"/>
        <v xml:space="preserve"> </v>
      </c>
      <c r="R228" s="15" t="str">
        <f t="shared" si="939"/>
        <v xml:space="preserve"> </v>
      </c>
      <c r="S228" s="15" t="str">
        <f t="shared" si="939"/>
        <v xml:space="preserve"> </v>
      </c>
      <c r="T228" s="20" t="str">
        <f t="shared" si="893"/>
        <v/>
      </c>
      <c r="U228" s="40" t="str">
        <f t="shared" si="894"/>
        <v/>
      </c>
      <c r="V228" s="109"/>
      <c r="W228" s="110">
        <v>55</v>
      </c>
      <c r="X228" s="20" t="str">
        <f>IFERROR(($N$30-N228)/W228,"")</f>
        <v/>
      </c>
      <c r="Y228" s="15" t="str">
        <f>IFERROR(($O$30-O228)/W228,"")</f>
        <v/>
      </c>
      <c r="Z228" s="15" t="str">
        <f>IFERROR(($P$30-P228)/W228,"")</f>
        <v/>
      </c>
      <c r="AA228" s="15" t="str">
        <f>IFERROR(($Q$21-Q228)/W228,"")</f>
        <v/>
      </c>
      <c r="AB228" s="17" t="str">
        <f>IFERROR(($R$30-R228)/W228,"")</f>
        <v/>
      </c>
      <c r="AC228" s="15" t="str">
        <f>IFERROR(($S$30-S228)/W228,"")</f>
        <v/>
      </c>
      <c r="AD228" s="20" t="str">
        <f>IFERROR(AVERAGE(X228:AC228), "")</f>
        <v/>
      </c>
      <c r="AE228" s="40" t="str">
        <f t="shared" si="960"/>
        <v/>
      </c>
      <c r="AG228" s="230"/>
      <c r="AH228" s="77">
        <f>'Sample ID'!$F$21</f>
        <v>0</v>
      </c>
      <c r="AI228" s="77" t="str">
        <f>IFERROR((X228*$AH$48),"")</f>
        <v/>
      </c>
      <c r="AJ228" s="77" t="str">
        <f t="shared" ref="AJ228" si="982">IFERROR((Y228*$AH$48),"")</f>
        <v/>
      </c>
      <c r="AK228" s="77" t="str">
        <f t="shared" ref="AK228" si="983">IFERROR((Z228*$AH$48),"")</f>
        <v/>
      </c>
      <c r="AL228" s="77" t="str">
        <f t="shared" ref="AL228" si="984">IFERROR((AA228*$AH$48),"")</f>
        <v/>
      </c>
      <c r="AM228" s="77" t="str">
        <f t="shared" ref="AM228" si="985">IFERROR((AB228*$AH$48),"")</f>
        <v/>
      </c>
      <c r="AN228" s="77" t="str">
        <f t="shared" ref="AN228" si="986">IFERROR((AC228*$AH$48),"")</f>
        <v/>
      </c>
      <c r="AO228" s="40" t="str">
        <f t="shared" si="953"/>
        <v/>
      </c>
      <c r="AP228" s="40" t="str">
        <f t="shared" si="966"/>
        <v/>
      </c>
      <c r="AQ228" s="15"/>
      <c r="AR228" s="15"/>
    </row>
    <row r="229" spans="3:44">
      <c r="C229" s="232">
        <v>60</v>
      </c>
      <c r="D229" s="50"/>
      <c r="E229" s="58">
        <v>1</v>
      </c>
      <c r="F229" s="58">
        <v>2</v>
      </c>
      <c r="G229" s="59">
        <v>3</v>
      </c>
      <c r="H229" s="56">
        <v>4</v>
      </c>
      <c r="I229" s="56">
        <v>5</v>
      </c>
      <c r="J229" s="57">
        <v>6</v>
      </c>
      <c r="K229" s="27"/>
      <c r="L229" s="232">
        <v>60</v>
      </c>
      <c r="M229" s="38"/>
      <c r="N229" s="59">
        <v>1</v>
      </c>
      <c r="O229" s="38">
        <v>2</v>
      </c>
      <c r="P229" s="38">
        <v>3</v>
      </c>
      <c r="Q229" s="38">
        <v>4</v>
      </c>
      <c r="R229" s="38">
        <v>5</v>
      </c>
      <c r="S229" s="50">
        <v>6</v>
      </c>
      <c r="T229" s="38" t="s">
        <v>24</v>
      </c>
      <c r="U229" s="51" t="s">
        <v>3</v>
      </c>
      <c r="V229" s="109"/>
      <c r="W229" s="38" t="s">
        <v>34</v>
      </c>
      <c r="X229" s="38">
        <v>1</v>
      </c>
      <c r="Y229" s="38">
        <v>2</v>
      </c>
      <c r="Z229" s="38">
        <v>3</v>
      </c>
      <c r="AA229" s="38">
        <v>4</v>
      </c>
      <c r="AB229" s="38">
        <v>5</v>
      </c>
      <c r="AC229" s="50">
        <v>6</v>
      </c>
      <c r="AD229" s="50" t="s">
        <v>49</v>
      </c>
      <c r="AE229" s="51" t="s">
        <v>3</v>
      </c>
      <c r="AF229" s="69"/>
      <c r="AG229" s="231">
        <v>60</v>
      </c>
      <c r="AH229" s="38" t="s">
        <v>35</v>
      </c>
      <c r="AI229" s="38"/>
      <c r="AJ229" s="38"/>
      <c r="AK229" s="38"/>
      <c r="AL229" s="38"/>
      <c r="AM229" s="38"/>
      <c r="AN229" s="38"/>
      <c r="AO229" s="52" t="s">
        <v>36</v>
      </c>
      <c r="AP229" s="51" t="s">
        <v>3</v>
      </c>
      <c r="AQ229" s="15"/>
      <c r="AR229" s="15"/>
    </row>
    <row r="230" spans="3:44">
      <c r="C230" s="232"/>
      <c r="D230" s="21" t="s">
        <v>16</v>
      </c>
      <c r="E230" s="22">
        <f>Data!B159</f>
        <v>1.915</v>
      </c>
      <c r="F230" s="22">
        <f>Data!C159</f>
        <v>1.913</v>
      </c>
      <c r="G230" s="22">
        <f>Data!D159</f>
        <v>1.9350000000000001</v>
      </c>
      <c r="H230" s="22">
        <f>Data!E159</f>
        <v>1.915</v>
      </c>
      <c r="I230" s="22">
        <f>Data!F159</f>
        <v>1.913</v>
      </c>
      <c r="J230" s="22">
        <f>Data!G159</f>
        <v>1.9350000000000001</v>
      </c>
      <c r="K230" s="22"/>
      <c r="L230" s="232"/>
      <c r="M230" s="130" t="s">
        <v>16</v>
      </c>
      <c r="N230" s="15">
        <f t="shared" ref="N230:S237" si="987">IF(((E230-$P$11)/$P$10)&gt;0,((E230-$P$11)/$P$10)," ")</f>
        <v>1.6767959396147845</v>
      </c>
      <c r="O230" s="15">
        <f t="shared" si="987"/>
        <v>1.6748438313378453</v>
      </c>
      <c r="P230" s="15">
        <f t="shared" si="987"/>
        <v>1.6963170223841753</v>
      </c>
      <c r="Q230" s="15">
        <f t="shared" si="987"/>
        <v>1.6767959396147845</v>
      </c>
      <c r="R230" s="15">
        <f t="shared" si="987"/>
        <v>1.6748438313378453</v>
      </c>
      <c r="S230" s="15">
        <f t="shared" si="987"/>
        <v>1.6963170223841753</v>
      </c>
      <c r="T230" s="20">
        <f t="shared" si="893"/>
        <v>1.6826522644456017</v>
      </c>
      <c r="U230" s="40">
        <f t="shared" si="894"/>
        <v>1.0620617263458121E-2</v>
      </c>
      <c r="V230" s="109"/>
      <c r="W230" s="110">
        <v>60</v>
      </c>
      <c r="X230" s="20">
        <f>IFERROR(($N$14-N230)/W230,"")</f>
        <v>9.1098386257157566E-4</v>
      </c>
      <c r="Y230" s="15">
        <f>IFERROR(($O$14-O230)/W230,"")</f>
        <v>9.2725143154606855E-4</v>
      </c>
      <c r="Z230" s="15">
        <f>IFERROR(($P$14-P230)/W230,"")</f>
        <v>1.0411244143675189E-3</v>
      </c>
      <c r="AA230" s="15">
        <f>IFERROR(($Q$14-Q230)/W230,"")</f>
        <v>9.1098386257157566E-4</v>
      </c>
      <c r="AB230" s="15">
        <f>IFERROR(($R$14-R230)/W230,"")</f>
        <v>9.2725143154606855E-4</v>
      </c>
      <c r="AC230" s="15">
        <f>IFERROR(($S$14-S230)/W230,"")</f>
        <v>1.0411244143675189E-3</v>
      </c>
      <c r="AD230" s="20">
        <f>IFERROR(AVERAGE(X230:AC230), "")</f>
        <v>9.5978656949505432E-4</v>
      </c>
      <c r="AE230" s="40">
        <f>IFERROR(STDEV(X230:AC230), "")</f>
        <v>6.3422659713750849E-5</v>
      </c>
      <c r="AG230" s="229"/>
      <c r="AH230" s="76">
        <f>'Sample ID'!$F$6</f>
        <v>1</v>
      </c>
      <c r="AI230" s="77">
        <f>IFERROR((X230*$AH$32),"")</f>
        <v>9.1098386257157566E-4</v>
      </c>
      <c r="AJ230" s="77">
        <f t="shared" ref="AJ230" si="988">IFERROR((Y230*$AH$32),"")</f>
        <v>9.2725143154606855E-4</v>
      </c>
      <c r="AK230" s="77">
        <f t="shared" ref="AK230" si="989">IFERROR((Z230*$AH$32),"")</f>
        <v>1.0411244143675189E-3</v>
      </c>
      <c r="AL230" s="77">
        <f t="shared" ref="AL230" si="990">IFERROR((AA230*$AH$32),"")</f>
        <v>9.1098386257157566E-4</v>
      </c>
      <c r="AM230" s="77">
        <f t="shared" ref="AM230" si="991">IFERROR((AB230*$AH$32),"")</f>
        <v>9.2725143154606855E-4</v>
      </c>
      <c r="AN230" s="77">
        <f t="shared" ref="AN230" si="992">IFERROR((AC230*$AH$32),"")</f>
        <v>1.0411244143675189E-3</v>
      </c>
      <c r="AO230" s="40">
        <f>IFERROR(AVERAGE(AI230:AN230),"")</f>
        <v>9.5978656949505432E-4</v>
      </c>
      <c r="AP230" s="40">
        <f>IFERROR(STDEV(AI230:AN230), "")</f>
        <v>6.3422659713750849E-5</v>
      </c>
      <c r="AQ230" s="15"/>
      <c r="AR230" s="15"/>
    </row>
    <row r="231" spans="3:44">
      <c r="C231" s="232"/>
      <c r="D231" s="21" t="s">
        <v>17</v>
      </c>
      <c r="E231" s="22">
        <f>Data!B160</f>
        <v>2.0209999999999999</v>
      </c>
      <c r="F231" s="22">
        <f>Data!C160</f>
        <v>2.032</v>
      </c>
      <c r="G231" s="22">
        <f>Data!D160</f>
        <v>2.0070000000000001</v>
      </c>
      <c r="H231" s="22">
        <f>Data!E160</f>
        <v>2.0209999999999999</v>
      </c>
      <c r="I231" s="22">
        <f>Data!F160</f>
        <v>2.032</v>
      </c>
      <c r="J231" s="22">
        <f>Data!G160</f>
        <v>2.0070000000000001</v>
      </c>
      <c r="K231" s="22"/>
      <c r="L231" s="232"/>
      <c r="M231" s="130" t="s">
        <v>17</v>
      </c>
      <c r="N231" s="15">
        <f t="shared" si="987"/>
        <v>1.7802576782925563</v>
      </c>
      <c r="O231" s="15">
        <f t="shared" si="987"/>
        <v>1.7909942738157214</v>
      </c>
      <c r="P231" s="15">
        <f t="shared" si="987"/>
        <v>1.7665929203539827</v>
      </c>
      <c r="Q231" s="15">
        <f t="shared" si="987"/>
        <v>1.7802576782925563</v>
      </c>
      <c r="R231" s="15">
        <f t="shared" si="987"/>
        <v>1.7909942738157214</v>
      </c>
      <c r="S231" s="15">
        <f t="shared" si="987"/>
        <v>1.7665929203539827</v>
      </c>
      <c r="T231" s="20">
        <f t="shared" si="893"/>
        <v>1.7792816241540867</v>
      </c>
      <c r="U231" s="40">
        <f t="shared" si="894"/>
        <v>1.093877594439502E-2</v>
      </c>
      <c r="V231" s="109"/>
      <c r="W231" s="110">
        <v>60</v>
      </c>
      <c r="X231" s="20">
        <f>IFERROR(($N$15-N231)/W231,"")</f>
        <v>-9.4351900052056144E-4</v>
      </c>
      <c r="Y231" s="15">
        <f>IFERROR(($O$15-O231)/W231,"")</f>
        <v>-1.171264966163458E-3</v>
      </c>
      <c r="Z231" s="15">
        <f>IFERROR(($P$15-P231)/W231,"")</f>
        <v>-5.6936491410723613E-4</v>
      </c>
      <c r="AA231" s="15">
        <f>IFERROR(($Q$15-Q231)/W231,"")</f>
        <v>-9.4351900052056144E-4</v>
      </c>
      <c r="AB231" s="15">
        <f>IFERROR(($R$15-R231)/W231,"")</f>
        <v>-1.171264966163458E-3</v>
      </c>
      <c r="AC231" s="15">
        <f>IFERROR(($S$15-S231)/W231,"")</f>
        <v>-5.6936491410723613E-4</v>
      </c>
      <c r="AD231" s="20">
        <f>IFERROR(AVERAGE(X231:AC231), "")</f>
        <v>-8.9471629359708527E-4</v>
      </c>
      <c r="AE231" s="40">
        <f>IFERROR(STDEV(X231:AC231), "")</f>
        <v>2.7181934635873837E-4</v>
      </c>
      <c r="AG231" s="229"/>
      <c r="AH231" s="77">
        <f>'Sample ID'!$F$7</f>
        <v>1</v>
      </c>
      <c r="AI231" s="77">
        <f>IFERROR((X231*$AH$33),"")</f>
        <v>-9.4351900052056144E-4</v>
      </c>
      <c r="AJ231" s="77">
        <f t="shared" ref="AJ231" si="993">IFERROR((Y231*$AH$33),"")</f>
        <v>-1.171264966163458E-3</v>
      </c>
      <c r="AK231" s="77">
        <f t="shared" ref="AK231" si="994">IFERROR((Z231*$AH$33),"")</f>
        <v>-5.6936491410723613E-4</v>
      </c>
      <c r="AL231" s="77">
        <f t="shared" ref="AL231" si="995">IFERROR((AA231*$AH$33),"")</f>
        <v>-9.4351900052056144E-4</v>
      </c>
      <c r="AM231" s="77">
        <f t="shared" ref="AM231" si="996">IFERROR((AB231*$AH$33),"")</f>
        <v>-1.171264966163458E-3</v>
      </c>
      <c r="AN231" s="77">
        <f t="shared" ref="AN231" si="997">IFERROR((AC231*$AH$33),"")</f>
        <v>-5.6936491410723613E-4</v>
      </c>
      <c r="AO231" s="40">
        <f t="shared" ref="AO231:AO237" si="998">IFERROR(AVERAGE(AI231:AN231),"")</f>
        <v>-8.9471629359708527E-4</v>
      </c>
      <c r="AP231" s="40">
        <f>IFERROR(STDEV(AI231:AN231), "")</f>
        <v>2.7181934635873837E-4</v>
      </c>
      <c r="AQ231" s="15"/>
      <c r="AR231" s="15"/>
    </row>
    <row r="232" spans="3:44">
      <c r="C232" s="232"/>
      <c r="D232" s="21" t="s">
        <v>18</v>
      </c>
      <c r="E232" s="22">
        <f>Data!B161</f>
        <v>1.9830000000000001</v>
      </c>
      <c r="F232" s="22">
        <f>Data!C161</f>
        <v>1.9810000000000001</v>
      </c>
      <c r="G232" s="22">
        <f>Data!D161</f>
        <v>2.0310000000000001</v>
      </c>
      <c r="H232" s="22">
        <f>Data!E161</f>
        <v>1.9830000000000001</v>
      </c>
      <c r="I232" s="22">
        <f>Data!F161</f>
        <v>1.9810000000000001</v>
      </c>
      <c r="J232" s="22">
        <f>Data!G161</f>
        <v>2.0310000000000001</v>
      </c>
      <c r="K232" s="22"/>
      <c r="L232" s="232"/>
      <c r="M232" s="130" t="s">
        <v>18</v>
      </c>
      <c r="N232" s="15">
        <f t="shared" si="987"/>
        <v>1.7431676210307137</v>
      </c>
      <c r="O232" s="15">
        <f t="shared" si="987"/>
        <v>1.7412155127537745</v>
      </c>
      <c r="P232" s="15">
        <f t="shared" si="987"/>
        <v>1.7900182196772521</v>
      </c>
      <c r="Q232" s="15">
        <f t="shared" si="987"/>
        <v>1.7431676210307137</v>
      </c>
      <c r="R232" s="15">
        <f t="shared" si="987"/>
        <v>1.7412155127537745</v>
      </c>
      <c r="S232" s="15">
        <f t="shared" si="987"/>
        <v>1.7900182196772521</v>
      </c>
      <c r="T232" s="20">
        <f t="shared" si="893"/>
        <v>1.7581337844872467</v>
      </c>
      <c r="U232" s="40">
        <f t="shared" si="894"/>
        <v>2.4713002038934249E-2</v>
      </c>
      <c r="V232" s="109"/>
      <c r="W232" s="110">
        <v>60</v>
      </c>
      <c r="X232" s="20">
        <f>IFERROR(($N$16-N232)/W232,"")</f>
        <v>-6.5070275897971541E-5</v>
      </c>
      <c r="Y232" s="15">
        <f>IFERROR(($O$16-O232)/W232,"")</f>
        <v>3.0908381051535739E-4</v>
      </c>
      <c r="Z232" s="15">
        <f>IFERROR(($P$16-P232)/W232,"")</f>
        <v>-6.5070275897971541E-5</v>
      </c>
      <c r="AA232" s="15">
        <f>IFERROR(($Q$16-Q232)/W232,"")</f>
        <v>-6.5070275897971541E-5</v>
      </c>
      <c r="AB232" s="15">
        <f>IFERROR(($R$16-R232)/W232,"")</f>
        <v>3.0908381051535739E-4</v>
      </c>
      <c r="AC232" s="15">
        <f>IFERROR(($S$16-S232)/W232,"")</f>
        <v>-6.5070275897971541E-5</v>
      </c>
      <c r="AD232" s="20">
        <f>IFERROR(AVERAGE(X232:AC232), "")</f>
        <v>5.9647752906471435E-5</v>
      </c>
      <c r="AE232" s="40">
        <f t="shared" ref="AE232:AE237" si="999">IFERROR(STDEV(X232:AC232), "")</f>
        <v>1.9321233941256981E-4</v>
      </c>
      <c r="AG232" s="229"/>
      <c r="AH232" s="77">
        <f>'Sample ID'!$F$8</f>
        <v>1</v>
      </c>
      <c r="AI232" s="77">
        <f>IFERROR((X232*$AH$34),"")</f>
        <v>-6.5070275897971541E-5</v>
      </c>
      <c r="AJ232" s="77">
        <f t="shared" ref="AJ232" si="1000">IFERROR((Y232*$AH$34),"")</f>
        <v>3.0908381051535739E-4</v>
      </c>
      <c r="AK232" s="77">
        <f t="shared" ref="AK232" si="1001">IFERROR((Z232*$AH$34),"")</f>
        <v>-6.5070275897971541E-5</v>
      </c>
      <c r="AL232" s="77">
        <f t="shared" ref="AL232" si="1002">IFERROR((AA232*$AH$34),"")</f>
        <v>-6.5070275897971541E-5</v>
      </c>
      <c r="AM232" s="77">
        <f t="shared" ref="AM232" si="1003">IFERROR((AB232*$AH$34),"")</f>
        <v>3.0908381051535739E-4</v>
      </c>
      <c r="AN232" s="77">
        <f t="shared" ref="AN232" si="1004">IFERROR((AC232*$AH$34),"")</f>
        <v>-6.5070275897971541E-5</v>
      </c>
      <c r="AO232" s="40">
        <f t="shared" si="998"/>
        <v>5.9647752906471435E-5</v>
      </c>
      <c r="AP232" s="40">
        <f t="shared" ref="AP232:AP237" si="1005">IFERROR(STDEV(AI232:AN232), "")</f>
        <v>1.9321233941256981E-4</v>
      </c>
      <c r="AQ232" s="15"/>
      <c r="AR232" s="15"/>
    </row>
    <row r="233" spans="3:44">
      <c r="C233" s="232"/>
      <c r="D233" s="21" t="s">
        <v>19</v>
      </c>
      <c r="E233" s="22">
        <f>Data!B162</f>
        <v>2.2770000000000001</v>
      </c>
      <c r="F233" s="22">
        <f>Data!C162</f>
        <v>2.2629999999999999</v>
      </c>
      <c r="G233" s="22">
        <f>Data!D162</f>
        <v>2.27</v>
      </c>
      <c r="H233" s="22">
        <f>Data!E162</f>
        <v>2.2770000000000001</v>
      </c>
      <c r="I233" s="22">
        <f>Data!F162</f>
        <v>2.2629999999999999</v>
      </c>
      <c r="J233" s="22">
        <f>Data!G162</f>
        <v>2.27</v>
      </c>
      <c r="K233" s="22"/>
      <c r="L233" s="232"/>
      <c r="M233" s="130" t="s">
        <v>19</v>
      </c>
      <c r="N233" s="15">
        <f t="shared" si="987"/>
        <v>2.0301275377407606</v>
      </c>
      <c r="O233" s="15">
        <f t="shared" si="987"/>
        <v>2.0164627798021866</v>
      </c>
      <c r="P233" s="15">
        <f t="shared" si="987"/>
        <v>2.0232951587714738</v>
      </c>
      <c r="Q233" s="15">
        <f t="shared" si="987"/>
        <v>2.0301275377407606</v>
      </c>
      <c r="R233" s="15">
        <f t="shared" si="987"/>
        <v>2.0164627798021866</v>
      </c>
      <c r="S233" s="15">
        <f t="shared" si="987"/>
        <v>2.0232951587714738</v>
      </c>
      <c r="T233" s="20">
        <f t="shared" si="893"/>
        <v>2.0232951587714734</v>
      </c>
      <c r="U233" s="40">
        <f t="shared" si="894"/>
        <v>6.1110655293462818E-3</v>
      </c>
      <c r="V233" s="109"/>
      <c r="W233" s="110">
        <v>60</v>
      </c>
      <c r="X233" s="20">
        <f>IFERROR(($N$17-N233)/W233,"")</f>
        <v>-3.6927381572097926E-3</v>
      </c>
      <c r="Y233" s="15">
        <f>IFERROR(($O$17-O233)/W233,"")</f>
        <v>-3.5137948984903635E-3</v>
      </c>
      <c r="Z233" s="15">
        <f>IFERROR(($P$17-P233)/W233,"")</f>
        <v>-3.497527329515878E-3</v>
      </c>
      <c r="AA233" s="15">
        <f>IFERROR(($Q$17-Q233)/W233,"")</f>
        <v>-3.6927381572097926E-3</v>
      </c>
      <c r="AB233" s="15">
        <f>IFERROR(($R$17-R233)/W233,"")</f>
        <v>-3.5137948984903635E-3</v>
      </c>
      <c r="AC233" s="15">
        <f>IFERROR(($S$17-S233)/W233,"")</f>
        <v>-3.497527329515878E-3</v>
      </c>
      <c r="AD233" s="20">
        <f t="shared" ref="AD233:AD237" si="1006">IFERROR(AVERAGE(X233:AC233), "")</f>
        <v>-3.5680201284053448E-3</v>
      </c>
      <c r="AE233" s="40">
        <f t="shared" si="999"/>
        <v>9.687971297123143E-5</v>
      </c>
      <c r="AG233" s="229"/>
      <c r="AH233" s="77">
        <f>'Sample ID'!$F$9</f>
        <v>1</v>
      </c>
      <c r="AI233" s="77">
        <f>IFERROR((X233*$AH$35),"")</f>
        <v>-3.6927381572097926E-3</v>
      </c>
      <c r="AJ233" s="77">
        <f t="shared" ref="AJ233" si="1007">IFERROR((Y233*$AH$35),"")</f>
        <v>-3.5137948984903635E-3</v>
      </c>
      <c r="AK233" s="77">
        <f t="shared" ref="AK233" si="1008">IFERROR((Z233*$AH$35),"")</f>
        <v>-3.497527329515878E-3</v>
      </c>
      <c r="AL233" s="77">
        <f t="shared" ref="AL233" si="1009">IFERROR((AA233*$AH$35),"")</f>
        <v>-3.6927381572097926E-3</v>
      </c>
      <c r="AM233" s="77">
        <f t="shared" ref="AM233" si="1010">IFERROR((AB233*$AH$35),"")</f>
        <v>-3.5137948984903635E-3</v>
      </c>
      <c r="AN233" s="77">
        <f t="shared" ref="AN233" si="1011">IFERROR((AC233*$AH$35),"")</f>
        <v>-3.497527329515878E-3</v>
      </c>
      <c r="AO233" s="40">
        <f t="shared" si="998"/>
        <v>-3.5680201284053448E-3</v>
      </c>
      <c r="AP233" s="40">
        <f t="shared" si="1005"/>
        <v>9.687971297123143E-5</v>
      </c>
      <c r="AQ233" s="15"/>
      <c r="AR233" s="15"/>
    </row>
    <row r="234" spans="3:44">
      <c r="C234" s="232"/>
      <c r="D234" s="21" t="s">
        <v>20</v>
      </c>
      <c r="E234" s="22">
        <f>Data!B163</f>
        <v>2.1280000000000001</v>
      </c>
      <c r="F234" s="22">
        <f>Data!C163</f>
        <v>2.1789999999999998</v>
      </c>
      <c r="G234" s="22">
        <f>Data!D163</f>
        <v>2.1880000000000002</v>
      </c>
      <c r="H234" s="22">
        <f>Data!E163</f>
        <v>2.1280000000000001</v>
      </c>
      <c r="I234" s="22">
        <f>Data!F163</f>
        <v>2.1789999999999998</v>
      </c>
      <c r="J234" s="22">
        <f>Data!G163</f>
        <v>2.1880000000000002</v>
      </c>
      <c r="K234" s="22"/>
      <c r="L234" s="232"/>
      <c r="M234" s="130" t="s">
        <v>20</v>
      </c>
      <c r="N234" s="15">
        <f t="shared" si="987"/>
        <v>1.884695471108798</v>
      </c>
      <c r="O234" s="15">
        <f t="shared" si="987"/>
        <v>1.9344742321707447</v>
      </c>
      <c r="P234" s="15">
        <f t="shared" si="987"/>
        <v>1.943258719416971</v>
      </c>
      <c r="Q234" s="15">
        <f t="shared" si="987"/>
        <v>1.884695471108798</v>
      </c>
      <c r="R234" s="15">
        <f t="shared" si="987"/>
        <v>1.9344742321707447</v>
      </c>
      <c r="S234" s="15">
        <f t="shared" si="987"/>
        <v>1.943258719416971</v>
      </c>
      <c r="T234" s="20">
        <f t="shared" si="893"/>
        <v>1.9208094742321713</v>
      </c>
      <c r="U234" s="40">
        <f t="shared" si="894"/>
        <v>2.8248295102409809E-2</v>
      </c>
      <c r="V234" s="109"/>
      <c r="W234" s="110">
        <v>60</v>
      </c>
      <c r="X234" s="20">
        <f>IFERROR(($N$18-N234)/W234,"")</f>
        <v>-6.0190005205621822E-4</v>
      </c>
      <c r="Y234" s="15">
        <f>IFERROR(($O$18-O234)/W234,"")</f>
        <v>-1.8219677251431476E-3</v>
      </c>
      <c r="Z234" s="15">
        <f>IFERROR(($P$18-P234)/W234,"")</f>
        <v>-1.6104893284747586E-3</v>
      </c>
      <c r="AA234" s="15">
        <f>IFERROR(($Q$18-Q234)/W234,"")</f>
        <v>-6.0190005205621822E-4</v>
      </c>
      <c r="AB234" s="15">
        <f>IFERROR(($R$18-R234)/W234,"")</f>
        <v>-1.8219677251431476E-3</v>
      </c>
      <c r="AC234" s="15">
        <f>IFERROR(($S$18-S234)/W234,"")</f>
        <v>-1.6104893284747586E-3</v>
      </c>
      <c r="AD234" s="20">
        <f t="shared" si="1006"/>
        <v>-1.3447857018913749E-3</v>
      </c>
      <c r="AE234" s="40">
        <f t="shared" si="999"/>
        <v>5.831569906038067E-4</v>
      </c>
      <c r="AG234" s="229"/>
      <c r="AH234" s="77">
        <f>'Sample ID'!$F$10</f>
        <v>1</v>
      </c>
      <c r="AI234" s="77">
        <f>IFERROR((X234*$AH$36),"")</f>
        <v>-6.0190005205621822E-4</v>
      </c>
      <c r="AJ234" s="77">
        <f t="shared" ref="AJ234" si="1012">IFERROR((Y234*$AH$36),"")</f>
        <v>-1.8219677251431476E-3</v>
      </c>
      <c r="AK234" s="77">
        <f t="shared" ref="AK234" si="1013">IFERROR((Z234*$AH$36),"")</f>
        <v>-1.6104893284747586E-3</v>
      </c>
      <c r="AL234" s="77">
        <f t="shared" ref="AL234" si="1014">IFERROR((AA234*$AH$36),"")</f>
        <v>-6.0190005205621822E-4</v>
      </c>
      <c r="AM234" s="77">
        <f t="shared" ref="AM234" si="1015">IFERROR((AB234*$AH$36),"")</f>
        <v>-1.8219677251431476E-3</v>
      </c>
      <c r="AN234" s="77">
        <f t="shared" ref="AN234" si="1016">IFERROR((AC234*$AH$36),"")</f>
        <v>-1.6104893284747586E-3</v>
      </c>
      <c r="AO234" s="40">
        <f t="shared" si="998"/>
        <v>-1.3447857018913749E-3</v>
      </c>
      <c r="AP234" s="40">
        <f t="shared" si="1005"/>
        <v>5.831569906038067E-4</v>
      </c>
      <c r="AQ234" s="15"/>
      <c r="AR234" s="15"/>
    </row>
    <row r="235" spans="3:44">
      <c r="C235" s="232"/>
      <c r="D235" s="21" t="s">
        <v>21</v>
      </c>
      <c r="E235" s="22">
        <f>Data!B164</f>
        <v>1.216</v>
      </c>
      <c r="F235" s="22">
        <f>Data!C164</f>
        <v>1.252</v>
      </c>
      <c r="G235" s="22">
        <f>Data!D164</f>
        <v>1.1759999999999999</v>
      </c>
      <c r="H235" s="22">
        <f>Data!E164</f>
        <v>1.216</v>
      </c>
      <c r="I235" s="22">
        <f>Data!F164</f>
        <v>1.252</v>
      </c>
      <c r="J235" s="22">
        <f>Data!G164</f>
        <v>1.1759999999999999</v>
      </c>
      <c r="K235" s="22"/>
      <c r="L235" s="232"/>
      <c r="M235" s="130" t="s">
        <v>21</v>
      </c>
      <c r="N235" s="15">
        <f t="shared" si="987"/>
        <v>0.99453409682457072</v>
      </c>
      <c r="O235" s="15">
        <f t="shared" si="987"/>
        <v>1.0296720458094744</v>
      </c>
      <c r="P235" s="15">
        <f t="shared" si="987"/>
        <v>0.9554919312857888</v>
      </c>
      <c r="Q235" s="15">
        <f t="shared" si="987"/>
        <v>0.99453409682457072</v>
      </c>
      <c r="R235" s="15">
        <f t="shared" si="987"/>
        <v>1.0296720458094744</v>
      </c>
      <c r="S235" s="15">
        <f t="shared" si="987"/>
        <v>0.9554919312857888</v>
      </c>
      <c r="T235" s="20">
        <f t="shared" si="893"/>
        <v>0.99323269130661129</v>
      </c>
      <c r="U235" s="40">
        <f t="shared" si="894"/>
        <v>3.3189668150536339E-2</v>
      </c>
      <c r="V235" s="109"/>
      <c r="W235" s="110">
        <v>60</v>
      </c>
      <c r="X235" s="20">
        <f>IFERROR(($N$19-N235)/W235,"")</f>
        <v>1.1078214471629365E-2</v>
      </c>
      <c r="Y235" s="15">
        <f>IFERROR(($O$19-O235)/W235,"")</f>
        <v>1.1094482040603855E-2</v>
      </c>
      <c r="Z235" s="15">
        <f>IFERROR(($P$19-P235)/W235,"")</f>
        <v>1.1696382092660077E-2</v>
      </c>
      <c r="AA235" s="15">
        <f>IFERROR(($Q$19-Q235)/W235,"")</f>
        <v>1.1078214471629365E-2</v>
      </c>
      <c r="AB235" s="15">
        <f>IFERROR(($R$19-R235)/W235,"")</f>
        <v>1.1094482040603855E-2</v>
      </c>
      <c r="AC235" s="15">
        <f>IFERROR(($S$19-S235)/W235,"")</f>
        <v>1.1696382092660077E-2</v>
      </c>
      <c r="AD235" s="20">
        <f t="shared" si="1006"/>
        <v>1.1289692868297766E-2</v>
      </c>
      <c r="AE235" s="40">
        <f t="shared" si="999"/>
        <v>3.1510411277468149E-4</v>
      </c>
      <c r="AG235" s="229"/>
      <c r="AH235" s="77">
        <f>'Sample ID'!$F$11</f>
        <v>0</v>
      </c>
      <c r="AI235" s="77">
        <f>IFERROR((X235*$AH$37),"")</f>
        <v>0</v>
      </c>
      <c r="AJ235" s="77">
        <f t="shared" ref="AJ235" si="1017">IFERROR((Y235*$AH$37),"")</f>
        <v>0</v>
      </c>
      <c r="AK235" s="77">
        <f t="shared" ref="AK235" si="1018">IFERROR((Z235*$AH$37),"")</f>
        <v>0</v>
      </c>
      <c r="AL235" s="77">
        <f t="shared" ref="AL235" si="1019">IFERROR((AA235*$AH$37),"")</f>
        <v>0</v>
      </c>
      <c r="AM235" s="77">
        <f t="shared" ref="AM235" si="1020">IFERROR((AB235*$AH$37),"")</f>
        <v>0</v>
      </c>
      <c r="AN235" s="77">
        <f t="shared" ref="AN235" si="1021">IFERROR((AC235*$AH$37),"")</f>
        <v>0</v>
      </c>
      <c r="AO235" s="40">
        <f t="shared" si="998"/>
        <v>0</v>
      </c>
      <c r="AP235" s="40">
        <f t="shared" si="1005"/>
        <v>0</v>
      </c>
      <c r="AQ235" s="15"/>
      <c r="AR235" s="15"/>
    </row>
    <row r="236" spans="3:44">
      <c r="C236" s="232"/>
      <c r="D236" s="21" t="s">
        <v>22</v>
      </c>
      <c r="E236" s="22">
        <f>Data!B165</f>
        <v>1.6519999999999999</v>
      </c>
      <c r="F236" s="22">
        <f>Data!C165</f>
        <v>1.67</v>
      </c>
      <c r="G236" s="22">
        <f>Data!D165</f>
        <v>1.6759999999999999</v>
      </c>
      <c r="H236" s="22">
        <f>Data!E165</f>
        <v>1.6519999999999999</v>
      </c>
      <c r="I236" s="22">
        <f>Data!F165</f>
        <v>1.67</v>
      </c>
      <c r="J236" s="22">
        <f>Data!G165</f>
        <v>1.6759999999999999</v>
      </c>
      <c r="K236" s="22"/>
      <c r="L236" s="232"/>
      <c r="M236" s="130" t="s">
        <v>22</v>
      </c>
      <c r="N236" s="15">
        <f t="shared" si="987"/>
        <v>1.4200937011972934</v>
      </c>
      <c r="O236" s="15">
        <f t="shared" si="987"/>
        <v>1.4376626756897453</v>
      </c>
      <c r="P236" s="15">
        <f t="shared" si="987"/>
        <v>1.4435190005205625</v>
      </c>
      <c r="Q236" s="15">
        <f t="shared" si="987"/>
        <v>1.4200937011972934</v>
      </c>
      <c r="R236" s="15">
        <f t="shared" si="987"/>
        <v>1.4376626756897453</v>
      </c>
      <c r="S236" s="15">
        <f t="shared" si="987"/>
        <v>1.4435190005205625</v>
      </c>
      <c r="T236" s="20">
        <f t="shared" si="893"/>
        <v>1.433758459135867</v>
      </c>
      <c r="U236" s="40">
        <f t="shared" si="894"/>
        <v>1.0903883428242264E-2</v>
      </c>
      <c r="V236" s="109"/>
      <c r="W236" s="110">
        <v>60</v>
      </c>
      <c r="X236" s="20">
        <f>IFERROR(($N$20-N236)/W236,"")</f>
        <v>4.1482300884955782E-3</v>
      </c>
      <c r="Y236" s="15">
        <f>IFERROR(($O$20-O236)/W236,"")</f>
        <v>3.7740760020822496E-3</v>
      </c>
      <c r="Z236" s="15">
        <f>IFERROR(($P$20-P236)/W236,"")</f>
        <v>3.8716814159292031E-3</v>
      </c>
      <c r="AA236" s="15">
        <f>IFERROR(($Q$20-Q236)/W236,"")</f>
        <v>4.1482300884955782E-3</v>
      </c>
      <c r="AB236" s="15">
        <f>IFERROR(($R$20-R236)/W236,"")</f>
        <v>3.7740760020822496E-3</v>
      </c>
      <c r="AC236" s="15">
        <f>IFERROR(($S$20-S236)/W236,"")</f>
        <v>3.8716814159292031E-3</v>
      </c>
      <c r="AD236" s="20">
        <f t="shared" si="1006"/>
        <v>3.9313291688356762E-3</v>
      </c>
      <c r="AE236" s="40">
        <f t="shared" si="999"/>
        <v>1.7358850403190171E-4</v>
      </c>
      <c r="AG236" s="229"/>
      <c r="AH236" s="77">
        <f>'Sample ID'!$F$12</f>
        <v>0</v>
      </c>
      <c r="AI236" s="77">
        <f>IFERROR((X236*$AH$38),"")</f>
        <v>0</v>
      </c>
      <c r="AJ236" s="77">
        <f t="shared" ref="AJ236" si="1022">IFERROR((Y236*$AH$38),"")</f>
        <v>0</v>
      </c>
      <c r="AK236" s="77">
        <f t="shared" ref="AK236" si="1023">IFERROR((Z236*$AH$38),"")</f>
        <v>0</v>
      </c>
      <c r="AL236" s="77">
        <f t="shared" ref="AL236" si="1024">IFERROR((AA236*$AH$38),"")</f>
        <v>0</v>
      </c>
      <c r="AM236" s="77">
        <f t="shared" ref="AM236" si="1025">IFERROR((AB236*$AH$38),"")</f>
        <v>0</v>
      </c>
      <c r="AN236" s="77">
        <f t="shared" ref="AN236" si="1026">IFERROR((AC236*$AH$38),"")</f>
        <v>0</v>
      </c>
      <c r="AO236" s="40">
        <f t="shared" si="998"/>
        <v>0</v>
      </c>
      <c r="AP236" s="40">
        <f t="shared" si="1005"/>
        <v>0</v>
      </c>
      <c r="AQ236" s="15"/>
      <c r="AR236" s="15"/>
    </row>
    <row r="237" spans="3:44">
      <c r="C237" s="232"/>
      <c r="D237" s="21" t="s">
        <v>23</v>
      </c>
      <c r="E237" s="22">
        <f>Data!B166</f>
        <v>0</v>
      </c>
      <c r="F237" s="22">
        <f>Data!C166</f>
        <v>0</v>
      </c>
      <c r="G237" s="22">
        <f>Data!D166</f>
        <v>0</v>
      </c>
      <c r="H237" s="22">
        <f>Data!E166</f>
        <v>0</v>
      </c>
      <c r="I237" s="22">
        <f>Data!F166</f>
        <v>0</v>
      </c>
      <c r="J237" s="22">
        <f>Data!G166</f>
        <v>0</v>
      </c>
      <c r="K237" s="22"/>
      <c r="L237" s="232"/>
      <c r="M237" s="130" t="s">
        <v>23</v>
      </c>
      <c r="N237" s="15" t="str">
        <f t="shared" si="987"/>
        <v xml:space="preserve"> </v>
      </c>
      <c r="O237" s="15" t="str">
        <f t="shared" si="987"/>
        <v xml:space="preserve"> </v>
      </c>
      <c r="P237" s="15" t="str">
        <f t="shared" si="987"/>
        <v xml:space="preserve"> </v>
      </c>
      <c r="Q237" s="15" t="str">
        <f t="shared" si="987"/>
        <v xml:space="preserve"> </v>
      </c>
      <c r="R237" s="15" t="str">
        <f t="shared" si="987"/>
        <v xml:space="preserve"> </v>
      </c>
      <c r="S237" s="15" t="str">
        <f t="shared" si="987"/>
        <v xml:space="preserve"> </v>
      </c>
      <c r="T237" s="20" t="str">
        <f t="shared" si="893"/>
        <v/>
      </c>
      <c r="U237" s="40" t="str">
        <f t="shared" si="894"/>
        <v/>
      </c>
      <c r="V237" s="109"/>
      <c r="W237" s="110">
        <v>60</v>
      </c>
      <c r="X237" s="20" t="str">
        <f>IFERROR(($N$21-N237)/W237,"")</f>
        <v/>
      </c>
      <c r="Y237" s="15" t="str">
        <f>IFERROR(($O$21-O237)/W237,"")</f>
        <v/>
      </c>
      <c r="Z237" s="15" t="str">
        <f>IFERROR(($P$21-P237)/W237,"")</f>
        <v/>
      </c>
      <c r="AA237" s="15" t="str">
        <f>IFERROR(($Q$21-Q237)/W237,"")</f>
        <v/>
      </c>
      <c r="AB237" s="15" t="str">
        <f>IFERROR(($R$21-R237)/W237,"")</f>
        <v/>
      </c>
      <c r="AC237" s="15" t="str">
        <f>IFERROR(($S$21-S237)/W237,"")</f>
        <v/>
      </c>
      <c r="AD237" s="20" t="str">
        <f t="shared" si="1006"/>
        <v/>
      </c>
      <c r="AE237" s="40" t="str">
        <f t="shared" si="999"/>
        <v/>
      </c>
      <c r="AG237" s="229"/>
      <c r="AH237" s="77">
        <f>'Sample ID'!$F$13</f>
        <v>0</v>
      </c>
      <c r="AI237" s="77" t="str">
        <f>IFERROR((X237*$AH$39),"")</f>
        <v/>
      </c>
      <c r="AJ237" s="77" t="str">
        <f t="shared" ref="AJ237" si="1027">IFERROR((Y237*$AH$39),"")</f>
        <v/>
      </c>
      <c r="AK237" s="77" t="str">
        <f t="shared" ref="AK237" si="1028">IFERROR((Z237*$AH$39),"")</f>
        <v/>
      </c>
      <c r="AL237" s="77" t="str">
        <f t="shared" ref="AL237" si="1029">IFERROR((AA237*$AH$39),"")</f>
        <v/>
      </c>
      <c r="AM237" s="77" t="str">
        <f t="shared" ref="AM237" si="1030">IFERROR((AB237*$AH$39),"")</f>
        <v/>
      </c>
      <c r="AN237" s="77" t="str">
        <f t="shared" ref="AN237" si="1031">IFERROR((AC237*$AH$39),"")</f>
        <v/>
      </c>
      <c r="AO237" s="40" t="str">
        <f t="shared" si="998"/>
        <v/>
      </c>
      <c r="AP237" s="40" t="str">
        <f t="shared" si="1005"/>
        <v/>
      </c>
      <c r="AQ237" s="15"/>
      <c r="AR237" s="15"/>
    </row>
    <row r="238" spans="3:44">
      <c r="C238" s="232"/>
      <c r="D238" s="39"/>
      <c r="E238" s="56">
        <v>7</v>
      </c>
      <c r="F238" s="56">
        <v>8</v>
      </c>
      <c r="G238" s="57">
        <v>9</v>
      </c>
      <c r="H238" s="56">
        <v>10</v>
      </c>
      <c r="I238" s="56">
        <v>11</v>
      </c>
      <c r="J238" s="57">
        <v>12</v>
      </c>
      <c r="K238" s="27"/>
      <c r="L238" s="232"/>
      <c r="M238" s="38"/>
      <c r="N238" s="59">
        <v>7</v>
      </c>
      <c r="O238" s="38">
        <v>8</v>
      </c>
      <c r="P238" s="38">
        <v>9</v>
      </c>
      <c r="Q238" s="38">
        <v>10</v>
      </c>
      <c r="R238" s="38">
        <v>11</v>
      </c>
      <c r="S238" s="50">
        <v>12</v>
      </c>
      <c r="T238" s="38" t="s">
        <v>24</v>
      </c>
      <c r="U238" s="51" t="s">
        <v>3</v>
      </c>
      <c r="V238" s="109"/>
      <c r="W238" s="98"/>
      <c r="X238" s="38">
        <v>7</v>
      </c>
      <c r="Y238" s="38">
        <v>8</v>
      </c>
      <c r="Z238" s="38">
        <v>9</v>
      </c>
      <c r="AA238" s="38">
        <v>10</v>
      </c>
      <c r="AB238" s="38">
        <v>11</v>
      </c>
      <c r="AC238" s="50">
        <v>12</v>
      </c>
      <c r="AD238" s="50" t="s">
        <v>49</v>
      </c>
      <c r="AE238" s="51" t="s">
        <v>3</v>
      </c>
      <c r="AG238" s="229"/>
      <c r="AH238" s="119"/>
      <c r="AI238" s="119"/>
      <c r="AJ238" s="119"/>
      <c r="AK238" s="119"/>
      <c r="AL238" s="119"/>
      <c r="AM238" s="119"/>
      <c r="AN238" s="119"/>
      <c r="AO238" s="100" t="str">
        <f>IFERROR(#REF!/(#REF!/W238), " ")</f>
        <v xml:space="preserve"> </v>
      </c>
      <c r="AP238" s="51" t="s">
        <v>3</v>
      </c>
      <c r="AQ238" s="15"/>
      <c r="AR238" s="15"/>
    </row>
    <row r="239" spans="3:44">
      <c r="C239" s="232"/>
      <c r="D239" s="21" t="s">
        <v>16</v>
      </c>
      <c r="E239" s="22">
        <f>Data!H159</f>
        <v>0</v>
      </c>
      <c r="F239" s="22">
        <f>Data!I159</f>
        <v>0</v>
      </c>
      <c r="G239" s="22">
        <f>Data!J159</f>
        <v>0</v>
      </c>
      <c r="H239" s="22">
        <f>Data!K159</f>
        <v>0</v>
      </c>
      <c r="I239" s="22">
        <f>Data!L159</f>
        <v>0</v>
      </c>
      <c r="J239" s="22">
        <f>Data!M159</f>
        <v>0</v>
      </c>
      <c r="K239" s="22"/>
      <c r="L239" s="232"/>
      <c r="M239" s="130" t="s">
        <v>16</v>
      </c>
      <c r="N239" s="15" t="str">
        <f t="shared" ref="N239:S246" si="1032">IF(((E239-$P$11)/$P$10)&gt;0,((E239-$P$11)/$P$10)," ")</f>
        <v xml:space="preserve"> </v>
      </c>
      <c r="O239" s="15" t="str">
        <f t="shared" si="1032"/>
        <v xml:space="preserve"> </v>
      </c>
      <c r="P239" s="15" t="str">
        <f t="shared" si="1032"/>
        <v xml:space="preserve"> </v>
      </c>
      <c r="Q239" s="15" t="str">
        <f t="shared" si="1032"/>
        <v xml:space="preserve"> </v>
      </c>
      <c r="R239" s="15" t="str">
        <f t="shared" si="1032"/>
        <v xml:space="preserve"> </v>
      </c>
      <c r="S239" s="15" t="str">
        <f t="shared" si="1032"/>
        <v xml:space="preserve"> </v>
      </c>
      <c r="T239" s="20" t="str">
        <f t="shared" ref="T239:T273" si="1033">IFERROR(AVERAGE(N239:S239),"")</f>
        <v/>
      </c>
      <c r="U239" s="40" t="str">
        <f t="shared" ref="U239:U273" si="1034">IFERROR(STDEV(N239:S239),"")</f>
        <v/>
      </c>
      <c r="V239" s="109"/>
      <c r="W239" s="110">
        <v>60</v>
      </c>
      <c r="X239" s="20" t="str">
        <f>IFERROR(($N$23-N239)/W239,"")</f>
        <v/>
      </c>
      <c r="Y239" s="15" t="str">
        <f>IFERROR(($O$23-O239)/W239,"")</f>
        <v/>
      </c>
      <c r="Z239" s="15" t="str">
        <f>IFERROR(($P$23-P239)/W239,"")</f>
        <v/>
      </c>
      <c r="AA239" s="15" t="str">
        <f>IFERROR(($Q$23-Q239)/W239,"")</f>
        <v/>
      </c>
      <c r="AB239" s="15" t="str">
        <f>IFERROR(($R$23-R239)/W239,"")</f>
        <v/>
      </c>
      <c r="AC239" s="15" t="str">
        <f>IFERROR(($S$23-S239)/W239,"")</f>
        <v/>
      </c>
      <c r="AD239" s="20" t="str">
        <f t="shared" ref="AD239:AD240" si="1035">IFERROR(AVERAGE(X239:AC239), "")</f>
        <v/>
      </c>
      <c r="AE239" s="40" t="str">
        <f t="shared" ref="AE239:AE240" si="1036">IFERROR(STDEV(X239:AC239), "")</f>
        <v/>
      </c>
      <c r="AG239" s="229"/>
      <c r="AH239" s="77">
        <f>'Sample ID'!$F$14</f>
        <v>0</v>
      </c>
      <c r="AI239" s="77" t="str">
        <f>IFERROR((X239*$AH$41),"")</f>
        <v/>
      </c>
      <c r="AJ239" s="77" t="str">
        <f t="shared" ref="AJ239" si="1037">IFERROR((Y239*$AH$41),"")</f>
        <v/>
      </c>
      <c r="AK239" s="77" t="str">
        <f t="shared" ref="AK239" si="1038">IFERROR((Z239*$AH$41),"")</f>
        <v/>
      </c>
      <c r="AL239" s="77" t="str">
        <f t="shared" ref="AL239" si="1039">IFERROR((AA239*$AH$41),"")</f>
        <v/>
      </c>
      <c r="AM239" s="77" t="str">
        <f t="shared" ref="AM239" si="1040">IFERROR((AB239*$AH$41),"")</f>
        <v/>
      </c>
      <c r="AN239" s="77" t="str">
        <f t="shared" ref="AN239" si="1041">IFERROR((AC239*$AH$41),"")</f>
        <v/>
      </c>
      <c r="AO239" s="40" t="str">
        <f>IFERROR(AVERAGE(AI239:AN239),"")</f>
        <v/>
      </c>
      <c r="AP239" s="40" t="str">
        <f t="shared" ref="AP239:AP240" si="1042">IFERROR(STDEV(AI239:AN239), "")</f>
        <v/>
      </c>
      <c r="AQ239" s="15"/>
      <c r="AR239" s="15"/>
    </row>
    <row r="240" spans="3:44">
      <c r="C240" s="232"/>
      <c r="D240" s="21" t="s">
        <v>17</v>
      </c>
      <c r="E240" s="22">
        <f>Data!H160</f>
        <v>0</v>
      </c>
      <c r="F240" s="22">
        <f>Data!I160</f>
        <v>0</v>
      </c>
      <c r="G240" s="22">
        <f>Data!J160</f>
        <v>0</v>
      </c>
      <c r="H240" s="22">
        <f>Data!K160</f>
        <v>0</v>
      </c>
      <c r="I240" s="22">
        <f>Data!L160</f>
        <v>0</v>
      </c>
      <c r="J240" s="22">
        <f>Data!M160</f>
        <v>0</v>
      </c>
      <c r="K240" s="22"/>
      <c r="L240" s="232"/>
      <c r="M240" s="130" t="s">
        <v>17</v>
      </c>
      <c r="N240" s="15" t="str">
        <f t="shared" si="1032"/>
        <v xml:space="preserve"> </v>
      </c>
      <c r="O240" s="15" t="str">
        <f t="shared" si="1032"/>
        <v xml:space="preserve"> </v>
      </c>
      <c r="P240" s="15" t="str">
        <f t="shared" si="1032"/>
        <v xml:space="preserve"> </v>
      </c>
      <c r="Q240" s="15" t="str">
        <f t="shared" si="1032"/>
        <v xml:space="preserve"> </v>
      </c>
      <c r="R240" s="15" t="str">
        <f t="shared" si="1032"/>
        <v xml:space="preserve"> </v>
      </c>
      <c r="S240" s="15" t="str">
        <f t="shared" si="1032"/>
        <v xml:space="preserve"> </v>
      </c>
      <c r="T240" s="20" t="str">
        <f t="shared" si="1033"/>
        <v/>
      </c>
      <c r="U240" s="40" t="str">
        <f t="shared" si="1034"/>
        <v/>
      </c>
      <c r="V240" s="109"/>
      <c r="W240" s="110">
        <v>60</v>
      </c>
      <c r="X240" s="20" t="str">
        <f>IFERROR(($N$24-N240)/W240,"")</f>
        <v/>
      </c>
      <c r="Y240" s="15" t="str">
        <f>IFERROR(($O$24-O240)/W240,"")</f>
        <v/>
      </c>
      <c r="Z240" s="15" t="str">
        <f>IFERROR(($P$24-P240)/W240,"")</f>
        <v/>
      </c>
      <c r="AA240" s="15" t="str">
        <f>IFERROR(($Q$24-Q240)/W240,"")</f>
        <v/>
      </c>
      <c r="AB240" s="15" t="str">
        <f>IFERROR(($R$24-R240)/W240,"")</f>
        <v/>
      </c>
      <c r="AC240" s="15" t="str">
        <f>IFERROR(($S$24-S240)/W240,"")</f>
        <v/>
      </c>
      <c r="AD240" s="20" t="str">
        <f t="shared" si="1035"/>
        <v/>
      </c>
      <c r="AE240" s="40" t="str">
        <f t="shared" si="1036"/>
        <v/>
      </c>
      <c r="AG240" s="229"/>
      <c r="AH240" s="77">
        <f>'Sample ID'!$F$15</f>
        <v>0</v>
      </c>
      <c r="AI240" s="77" t="str">
        <f>IFERROR((X240*$AH$42),"")</f>
        <v/>
      </c>
      <c r="AJ240" s="77" t="str">
        <f t="shared" ref="AJ240" si="1043">IFERROR((Y240*$AH$42),"")</f>
        <v/>
      </c>
      <c r="AK240" s="77" t="str">
        <f t="shared" ref="AK240" si="1044">IFERROR((Z240*$AH$42),"")</f>
        <v/>
      </c>
      <c r="AL240" s="77" t="str">
        <f t="shared" ref="AL240" si="1045">IFERROR((AA240*$AH$42),"")</f>
        <v/>
      </c>
      <c r="AM240" s="77" t="str">
        <f t="shared" ref="AM240" si="1046">IFERROR((AB240*$AH$42),"")</f>
        <v/>
      </c>
      <c r="AN240" s="77" t="str">
        <f t="shared" ref="AN240" si="1047">IFERROR((AC240*$AH$42),"")</f>
        <v/>
      </c>
      <c r="AO240" s="40" t="str">
        <f t="shared" ref="AO240:AO246" si="1048">IFERROR(AVERAGE(AI240:AN240),"")</f>
        <v/>
      </c>
      <c r="AP240" s="40" t="str">
        <f t="shared" si="1042"/>
        <v/>
      </c>
      <c r="AQ240" s="15"/>
      <c r="AR240" s="15"/>
    </row>
    <row r="241" spans="3:44">
      <c r="C241" s="232"/>
      <c r="D241" s="21" t="s">
        <v>18</v>
      </c>
      <c r="E241" s="22">
        <f>Data!H161</f>
        <v>0</v>
      </c>
      <c r="F241" s="22">
        <f>Data!I161</f>
        <v>0</v>
      </c>
      <c r="G241" s="22">
        <f>Data!J161</f>
        <v>0</v>
      </c>
      <c r="H241" s="22">
        <f>Data!K161</f>
        <v>0</v>
      </c>
      <c r="I241" s="22">
        <f>Data!L161</f>
        <v>0</v>
      </c>
      <c r="J241" s="22">
        <f>Data!M161</f>
        <v>0</v>
      </c>
      <c r="K241" s="22"/>
      <c r="L241" s="232"/>
      <c r="M241" s="130" t="s">
        <v>18</v>
      </c>
      <c r="N241" s="15" t="str">
        <f t="shared" si="1032"/>
        <v xml:space="preserve"> </v>
      </c>
      <c r="O241" s="15" t="str">
        <f t="shared" si="1032"/>
        <v xml:space="preserve"> </v>
      </c>
      <c r="P241" s="15" t="str">
        <f t="shared" si="1032"/>
        <v xml:space="preserve"> </v>
      </c>
      <c r="Q241" s="15" t="str">
        <f t="shared" si="1032"/>
        <v xml:space="preserve"> </v>
      </c>
      <c r="R241" s="15" t="str">
        <f t="shared" si="1032"/>
        <v xml:space="preserve"> </v>
      </c>
      <c r="S241" s="15" t="str">
        <f t="shared" si="1032"/>
        <v xml:space="preserve"> </v>
      </c>
      <c r="T241" s="20" t="str">
        <f t="shared" si="1033"/>
        <v/>
      </c>
      <c r="U241" s="40" t="str">
        <f t="shared" si="1034"/>
        <v/>
      </c>
      <c r="V241" s="109"/>
      <c r="W241" s="110">
        <v>60</v>
      </c>
      <c r="X241" s="20" t="str">
        <f>IFERROR(($N$25-N241)/W241,"")</f>
        <v/>
      </c>
      <c r="Y241" s="15" t="str">
        <f>IFERROR(($O$25-O241)/W241,"")</f>
        <v/>
      </c>
      <c r="Z241" s="15" t="str">
        <f>IFERROR(($P$25-P241)/W241,"")</f>
        <v/>
      </c>
      <c r="AA241" s="15" t="str">
        <f>IFERROR(($Q$25-Q241)/W241,"")</f>
        <v/>
      </c>
      <c r="AB241" s="15" t="str">
        <f>IFERROR(($R$25-R241)/W241,"")</f>
        <v/>
      </c>
      <c r="AC241" s="15" t="str">
        <f>IFERROR(($S$25-S241)/W241,"")</f>
        <v/>
      </c>
      <c r="AD241" s="20" t="str">
        <f>IFERROR(AVERAGE(X241:AC241), "")</f>
        <v/>
      </c>
      <c r="AE241" s="40" t="str">
        <f>IFERROR(STDEV(X241:AC241), "")</f>
        <v/>
      </c>
      <c r="AG241" s="229"/>
      <c r="AH241" s="77">
        <f>'Sample ID'!$F$16</f>
        <v>0</v>
      </c>
      <c r="AI241" s="77" t="str">
        <f>IFERROR((X241*$AH$43),"")</f>
        <v/>
      </c>
      <c r="AJ241" s="77" t="str">
        <f t="shared" ref="AJ241" si="1049">IFERROR((Y241*$AH$43),"")</f>
        <v/>
      </c>
      <c r="AK241" s="77" t="str">
        <f t="shared" ref="AK241" si="1050">IFERROR((Z241*$AH$43),"")</f>
        <v/>
      </c>
      <c r="AL241" s="77" t="str">
        <f t="shared" ref="AL241" si="1051">IFERROR((AA241*$AH$43),"")</f>
        <v/>
      </c>
      <c r="AM241" s="77" t="str">
        <f t="shared" ref="AM241" si="1052">IFERROR((AB241*$AH$43),"")</f>
        <v/>
      </c>
      <c r="AN241" s="77" t="str">
        <f t="shared" ref="AN241" si="1053">IFERROR((AC241*$AH$43),"")</f>
        <v/>
      </c>
      <c r="AO241" s="40" t="str">
        <f t="shared" si="1048"/>
        <v/>
      </c>
      <c r="AP241" s="40" t="str">
        <f>IFERROR(STDEV(AI241:AN241), "")</f>
        <v/>
      </c>
      <c r="AQ241" s="15"/>
      <c r="AR241" s="15"/>
    </row>
    <row r="242" spans="3:44">
      <c r="C242" s="232"/>
      <c r="D242" s="21" t="s">
        <v>19</v>
      </c>
      <c r="E242" s="22">
        <f>Data!H162</f>
        <v>0</v>
      </c>
      <c r="F242" s="22">
        <f>Data!I162</f>
        <v>0</v>
      </c>
      <c r="G242" s="22">
        <f>Data!J162</f>
        <v>0</v>
      </c>
      <c r="H242" s="22">
        <f>Data!K162</f>
        <v>0</v>
      </c>
      <c r="I242" s="22">
        <f>Data!L162</f>
        <v>0</v>
      </c>
      <c r="J242" s="22">
        <f>Data!M162</f>
        <v>0</v>
      </c>
      <c r="K242" s="22"/>
      <c r="L242" s="232"/>
      <c r="M242" s="130" t="s">
        <v>19</v>
      </c>
      <c r="N242" s="15" t="str">
        <f t="shared" si="1032"/>
        <v xml:space="preserve"> </v>
      </c>
      <c r="O242" s="15" t="str">
        <f t="shared" si="1032"/>
        <v xml:space="preserve"> </v>
      </c>
      <c r="P242" s="15" t="str">
        <f t="shared" si="1032"/>
        <v xml:space="preserve"> </v>
      </c>
      <c r="Q242" s="15" t="str">
        <f t="shared" si="1032"/>
        <v xml:space="preserve"> </v>
      </c>
      <c r="R242" s="15" t="str">
        <f t="shared" si="1032"/>
        <v xml:space="preserve"> </v>
      </c>
      <c r="S242" s="15" t="str">
        <f t="shared" si="1032"/>
        <v xml:space="preserve"> </v>
      </c>
      <c r="T242" s="20" t="str">
        <f t="shared" si="1033"/>
        <v/>
      </c>
      <c r="U242" s="40" t="str">
        <f t="shared" si="1034"/>
        <v/>
      </c>
      <c r="V242" s="109"/>
      <c r="W242" s="110">
        <v>60</v>
      </c>
      <c r="X242" s="20" t="str">
        <f>IFERROR(($N$26-N242)/W242,"")</f>
        <v/>
      </c>
      <c r="Y242" s="15" t="str">
        <f>IFERROR(($O$26-O242)/W242,"")</f>
        <v/>
      </c>
      <c r="Z242" s="15" t="str">
        <f>IFERROR(($P$26-P242)/W242,"")</f>
        <v/>
      </c>
      <c r="AA242" s="15" t="str">
        <f>IFERROR(($Q$17-Q242)/W242,"")</f>
        <v/>
      </c>
      <c r="AB242" s="15" t="str">
        <f>IFERROR(($R$26-R242)/W242,"")</f>
        <v/>
      </c>
      <c r="AC242" s="15" t="str">
        <f>IFERROR(($S$26-S242)/W242,"")</f>
        <v/>
      </c>
      <c r="AD242" s="20" t="str">
        <f t="shared" ref="AD242:AD245" si="1054">IFERROR(AVERAGE(X242:AC242), "")</f>
        <v/>
      </c>
      <c r="AE242" s="40" t="str">
        <f t="shared" ref="AE242:AE246" si="1055">IFERROR(STDEV(X242:AC242), "")</f>
        <v/>
      </c>
      <c r="AG242" s="229"/>
      <c r="AH242" s="77">
        <f>'Sample ID'!$F$17</f>
        <v>0</v>
      </c>
      <c r="AI242" s="77" t="str">
        <f>IFERROR((X242*$AH$44),"")</f>
        <v/>
      </c>
      <c r="AJ242" s="77" t="str">
        <f t="shared" ref="AJ242" si="1056">IFERROR((Y242*$AH$44),"")</f>
        <v/>
      </c>
      <c r="AK242" s="77" t="str">
        <f t="shared" ref="AK242" si="1057">IFERROR((Z242*$AH$44),"")</f>
        <v/>
      </c>
      <c r="AL242" s="77" t="str">
        <f t="shared" ref="AL242" si="1058">IFERROR((AA242*$AH$44),"")</f>
        <v/>
      </c>
      <c r="AM242" s="77" t="str">
        <f t="shared" ref="AM242" si="1059">IFERROR((AB242*$AH$44),"")</f>
        <v/>
      </c>
      <c r="AN242" s="77" t="str">
        <f t="shared" ref="AN242" si="1060">IFERROR((AC242*$AH$44),"")</f>
        <v/>
      </c>
      <c r="AO242" s="40" t="str">
        <f t="shared" si="1048"/>
        <v/>
      </c>
      <c r="AP242" s="40" t="str">
        <f t="shared" ref="AP242:AP246" si="1061">IFERROR(STDEV(AI242:AN242), "")</f>
        <v/>
      </c>
      <c r="AQ242" s="15"/>
      <c r="AR242" s="15"/>
    </row>
    <row r="243" spans="3:44">
      <c r="C243" s="232"/>
      <c r="D243" s="21" t="s">
        <v>20</v>
      </c>
      <c r="E243" s="22">
        <f>Data!H163</f>
        <v>0</v>
      </c>
      <c r="F243" s="22">
        <f>Data!I163</f>
        <v>0</v>
      </c>
      <c r="G243" s="22">
        <f>Data!J163</f>
        <v>0</v>
      </c>
      <c r="H243" s="22">
        <f>Data!K163</f>
        <v>0</v>
      </c>
      <c r="I243" s="22">
        <f>Data!L163</f>
        <v>0</v>
      </c>
      <c r="J243" s="22">
        <f>Data!M163</f>
        <v>0</v>
      </c>
      <c r="K243" s="22"/>
      <c r="L243" s="232"/>
      <c r="M243" s="130" t="s">
        <v>20</v>
      </c>
      <c r="N243" s="15" t="str">
        <f t="shared" si="1032"/>
        <v xml:space="preserve"> </v>
      </c>
      <c r="O243" s="15" t="str">
        <f t="shared" si="1032"/>
        <v xml:space="preserve"> </v>
      </c>
      <c r="P243" s="15" t="str">
        <f t="shared" si="1032"/>
        <v xml:space="preserve"> </v>
      </c>
      <c r="Q243" s="15" t="str">
        <f t="shared" si="1032"/>
        <v xml:space="preserve"> </v>
      </c>
      <c r="R243" s="15" t="str">
        <f t="shared" si="1032"/>
        <v xml:space="preserve"> </v>
      </c>
      <c r="S243" s="15" t="str">
        <f t="shared" si="1032"/>
        <v xml:space="preserve"> </v>
      </c>
      <c r="T243" s="20" t="str">
        <f t="shared" si="1033"/>
        <v/>
      </c>
      <c r="U243" s="40" t="str">
        <f t="shared" si="1034"/>
        <v/>
      </c>
      <c r="V243" s="109"/>
      <c r="W243" s="110">
        <v>60</v>
      </c>
      <c r="X243" s="20" t="str">
        <f>IFERROR(($N$27-N243)/W243,"")</f>
        <v/>
      </c>
      <c r="Y243" s="15" t="str">
        <f>IFERROR(($O$27-O243)/W243,"")</f>
        <v/>
      </c>
      <c r="Z243" s="15" t="str">
        <f>IFERROR(($P$27-P243)/W243,"")</f>
        <v/>
      </c>
      <c r="AA243" s="15" t="str">
        <f>IFERROR(($Q$18-Q243)/W243,"")</f>
        <v/>
      </c>
      <c r="AB243" s="15" t="str">
        <f>IFERROR(($R$27-R243)/W243,"")</f>
        <v/>
      </c>
      <c r="AC243" s="15" t="str">
        <f>IFERROR(($S$27-S243)/W243,"")</f>
        <v/>
      </c>
      <c r="AD243" s="20" t="str">
        <f t="shared" si="1054"/>
        <v/>
      </c>
      <c r="AE243" s="40" t="str">
        <f t="shared" si="1055"/>
        <v/>
      </c>
      <c r="AG243" s="229"/>
      <c r="AH243" s="77">
        <f>'Sample ID'!$F$18</f>
        <v>0</v>
      </c>
      <c r="AI243" s="77" t="str">
        <f>IFERROR((X243*$AH$45),"")</f>
        <v/>
      </c>
      <c r="AJ243" s="77" t="str">
        <f t="shared" ref="AJ243" si="1062">IFERROR((Y243*$AH$45),"")</f>
        <v/>
      </c>
      <c r="AK243" s="77" t="str">
        <f t="shared" ref="AK243" si="1063">IFERROR((Z243*$AH$45),"")</f>
        <v/>
      </c>
      <c r="AL243" s="77" t="str">
        <f t="shared" ref="AL243" si="1064">IFERROR((AA243*$AH$45),"")</f>
        <v/>
      </c>
      <c r="AM243" s="77" t="str">
        <f t="shared" ref="AM243" si="1065">IFERROR((AB243*$AH$45),"")</f>
        <v/>
      </c>
      <c r="AN243" s="77" t="str">
        <f t="shared" ref="AN243" si="1066">IFERROR((AC243*$AH$45),"")</f>
        <v/>
      </c>
      <c r="AO243" s="40" t="str">
        <f t="shared" si="1048"/>
        <v/>
      </c>
      <c r="AP243" s="40" t="str">
        <f t="shared" si="1061"/>
        <v/>
      </c>
      <c r="AQ243" s="15"/>
      <c r="AR243" s="15"/>
    </row>
    <row r="244" spans="3:44">
      <c r="C244" s="232"/>
      <c r="D244" s="21" t="s">
        <v>21</v>
      </c>
      <c r="E244" s="22">
        <f>Data!H164</f>
        <v>0</v>
      </c>
      <c r="F244" s="22">
        <f>Data!I164</f>
        <v>0</v>
      </c>
      <c r="G244" s="22">
        <f>Data!J164</f>
        <v>0</v>
      </c>
      <c r="H244" s="22">
        <f>Data!K164</f>
        <v>0</v>
      </c>
      <c r="I244" s="22">
        <f>Data!L164</f>
        <v>0</v>
      </c>
      <c r="J244" s="22">
        <f>Data!M164</f>
        <v>0</v>
      </c>
      <c r="K244" s="22"/>
      <c r="L244" s="232"/>
      <c r="M244" s="130" t="s">
        <v>21</v>
      </c>
      <c r="N244" s="15" t="str">
        <f t="shared" si="1032"/>
        <v xml:space="preserve"> </v>
      </c>
      <c r="O244" s="15" t="str">
        <f t="shared" si="1032"/>
        <v xml:space="preserve"> </v>
      </c>
      <c r="P244" s="15" t="str">
        <f t="shared" si="1032"/>
        <v xml:space="preserve"> </v>
      </c>
      <c r="Q244" s="15" t="str">
        <f t="shared" si="1032"/>
        <v xml:space="preserve"> </v>
      </c>
      <c r="R244" s="15" t="str">
        <f t="shared" si="1032"/>
        <v xml:space="preserve"> </v>
      </c>
      <c r="S244" s="15" t="str">
        <f t="shared" si="1032"/>
        <v xml:space="preserve"> </v>
      </c>
      <c r="T244" s="20" t="str">
        <f t="shared" si="1033"/>
        <v/>
      </c>
      <c r="U244" s="40" t="str">
        <f t="shared" si="1034"/>
        <v/>
      </c>
      <c r="V244" s="109"/>
      <c r="W244" s="110">
        <v>60</v>
      </c>
      <c r="X244" s="20" t="str">
        <f>IFERROR(($N$28-N244)/W244,"")</f>
        <v/>
      </c>
      <c r="Y244" s="15" t="str">
        <f>IFERROR(($O$28-O244)/W244,"")</f>
        <v/>
      </c>
      <c r="Z244" s="15" t="str">
        <f>IFERROR(($P$28-P244)/W244,"")</f>
        <v/>
      </c>
      <c r="AA244" s="15" t="str">
        <f>IFERROR(($Q$19-Q244)/W244,"")</f>
        <v/>
      </c>
      <c r="AB244" s="15" t="str">
        <f>IFERROR(($R$28-R244)/W244,"")</f>
        <v/>
      </c>
      <c r="AC244" s="15" t="str">
        <f>IFERROR(($S$28-S244)/W244,"")</f>
        <v/>
      </c>
      <c r="AD244" s="20" t="str">
        <f t="shared" si="1054"/>
        <v/>
      </c>
      <c r="AE244" s="40" t="str">
        <f t="shared" si="1055"/>
        <v/>
      </c>
      <c r="AG244" s="229"/>
      <c r="AH244" s="77">
        <f>'Sample ID'!$F$19</f>
        <v>0</v>
      </c>
      <c r="AI244" s="77" t="str">
        <f>IFERROR((X244*$AH$46),"")</f>
        <v/>
      </c>
      <c r="AJ244" s="77" t="str">
        <f t="shared" ref="AJ244" si="1067">IFERROR((Y244*$AH$46),"")</f>
        <v/>
      </c>
      <c r="AK244" s="77" t="str">
        <f t="shared" ref="AK244" si="1068">IFERROR((Z244*$AH$46),"")</f>
        <v/>
      </c>
      <c r="AL244" s="77" t="str">
        <f t="shared" ref="AL244" si="1069">IFERROR((AA244*$AH$46),"")</f>
        <v/>
      </c>
      <c r="AM244" s="77" t="str">
        <f t="shared" ref="AM244" si="1070">IFERROR((AB244*$AH$46),"")</f>
        <v/>
      </c>
      <c r="AN244" s="77" t="str">
        <f t="shared" ref="AN244" si="1071">IFERROR((AC244*$AH$46),"")</f>
        <v/>
      </c>
      <c r="AO244" s="40" t="str">
        <f t="shared" si="1048"/>
        <v/>
      </c>
      <c r="AP244" s="40" t="str">
        <f t="shared" si="1061"/>
        <v/>
      </c>
      <c r="AQ244" s="15"/>
      <c r="AR244" s="15"/>
    </row>
    <row r="245" spans="3:44">
      <c r="C245" s="232"/>
      <c r="D245" s="21" t="s">
        <v>22</v>
      </c>
      <c r="E245" s="22">
        <f>Data!H165</f>
        <v>0</v>
      </c>
      <c r="F245" s="22">
        <f>Data!I165</f>
        <v>0</v>
      </c>
      <c r="G245" s="22">
        <f>Data!J165</f>
        <v>0</v>
      </c>
      <c r="H245" s="22">
        <f>Data!K165</f>
        <v>0</v>
      </c>
      <c r="I245" s="22">
        <f>Data!L165</f>
        <v>0</v>
      </c>
      <c r="J245" s="22">
        <f>Data!M165</f>
        <v>0</v>
      </c>
      <c r="K245" s="22"/>
      <c r="L245" s="232"/>
      <c r="M245" s="130" t="s">
        <v>22</v>
      </c>
      <c r="N245" s="15" t="str">
        <f t="shared" si="1032"/>
        <v xml:space="preserve"> </v>
      </c>
      <c r="O245" s="15" t="str">
        <f t="shared" si="1032"/>
        <v xml:space="preserve"> </v>
      </c>
      <c r="P245" s="15" t="str">
        <f t="shared" si="1032"/>
        <v xml:space="preserve"> </v>
      </c>
      <c r="Q245" s="15" t="str">
        <f t="shared" si="1032"/>
        <v xml:space="preserve"> </v>
      </c>
      <c r="R245" s="15" t="str">
        <f t="shared" si="1032"/>
        <v xml:space="preserve"> </v>
      </c>
      <c r="S245" s="15" t="str">
        <f t="shared" si="1032"/>
        <v xml:space="preserve"> </v>
      </c>
      <c r="T245" s="20" t="str">
        <f t="shared" si="1033"/>
        <v/>
      </c>
      <c r="U245" s="40" t="str">
        <f t="shared" si="1034"/>
        <v/>
      </c>
      <c r="V245" s="109"/>
      <c r="W245" s="110">
        <v>60</v>
      </c>
      <c r="X245" s="20" t="str">
        <f>IFERROR(($N$29-N245)/W245,"")</f>
        <v/>
      </c>
      <c r="Y245" s="15" t="str">
        <f>IFERROR(($O$29-O245)/W245,"")</f>
        <v/>
      </c>
      <c r="Z245" s="15" t="str">
        <f>IFERROR(($P$29-P245)/W245,"")</f>
        <v/>
      </c>
      <c r="AA245" s="15" t="str">
        <f>IFERROR(($Q$20-Q245)/W245,"")</f>
        <v/>
      </c>
      <c r="AB245" s="15" t="str">
        <f>IFERROR(($R$29-R245)/W245,"")</f>
        <v/>
      </c>
      <c r="AC245" s="15" t="str">
        <f>IFERROR(($S$29-S245)/W245,"")</f>
        <v/>
      </c>
      <c r="AD245" s="20" t="str">
        <f t="shared" si="1054"/>
        <v/>
      </c>
      <c r="AE245" s="40" t="str">
        <f t="shared" si="1055"/>
        <v/>
      </c>
      <c r="AG245" s="229"/>
      <c r="AH245" s="77">
        <f>'Sample ID'!$F$20</f>
        <v>0</v>
      </c>
      <c r="AI245" s="77" t="str">
        <f>IFERROR((X245*$AH$47),"")</f>
        <v/>
      </c>
      <c r="AJ245" s="77" t="str">
        <f t="shared" ref="AJ245" si="1072">IFERROR((Y245*$AH$47),"")</f>
        <v/>
      </c>
      <c r="AK245" s="77" t="str">
        <f t="shared" ref="AK245" si="1073">IFERROR((Z245*$AH$47),"")</f>
        <v/>
      </c>
      <c r="AL245" s="77" t="str">
        <f t="shared" ref="AL245" si="1074">IFERROR((AA245*$AH$47),"")</f>
        <v/>
      </c>
      <c r="AM245" s="77" t="str">
        <f t="shared" ref="AM245" si="1075">IFERROR((AB245*$AH$47),"")</f>
        <v/>
      </c>
      <c r="AN245" s="77" t="str">
        <f t="shared" ref="AN245" si="1076">IFERROR((AC245*$AH$47),"")</f>
        <v/>
      </c>
      <c r="AO245" s="40" t="str">
        <f t="shared" si="1048"/>
        <v/>
      </c>
      <c r="AP245" s="40" t="str">
        <f t="shared" si="1061"/>
        <v/>
      </c>
      <c r="AQ245" s="15"/>
      <c r="AR245" s="15"/>
    </row>
    <row r="246" spans="3:44">
      <c r="C246" s="232"/>
      <c r="D246" s="21" t="s">
        <v>23</v>
      </c>
      <c r="E246" s="22">
        <f>Data!H166</f>
        <v>0</v>
      </c>
      <c r="F246" s="22">
        <f>Data!I166</f>
        <v>0</v>
      </c>
      <c r="G246" s="22">
        <f>Data!J166</f>
        <v>0</v>
      </c>
      <c r="H246" s="22">
        <f>Data!K166</f>
        <v>0</v>
      </c>
      <c r="I246" s="22">
        <f>Data!L166</f>
        <v>0</v>
      </c>
      <c r="J246" s="22">
        <f>Data!M166</f>
        <v>0</v>
      </c>
      <c r="K246" s="22"/>
      <c r="L246" s="232"/>
      <c r="M246" s="130" t="s">
        <v>23</v>
      </c>
      <c r="N246" s="15" t="str">
        <f t="shared" si="1032"/>
        <v xml:space="preserve"> </v>
      </c>
      <c r="O246" s="15" t="str">
        <f t="shared" si="1032"/>
        <v xml:space="preserve"> </v>
      </c>
      <c r="P246" s="15" t="str">
        <f t="shared" si="1032"/>
        <v xml:space="preserve"> </v>
      </c>
      <c r="Q246" s="15" t="str">
        <f t="shared" si="1032"/>
        <v xml:space="preserve"> </v>
      </c>
      <c r="R246" s="15" t="str">
        <f t="shared" si="1032"/>
        <v xml:space="preserve"> </v>
      </c>
      <c r="S246" s="15" t="str">
        <f t="shared" si="1032"/>
        <v xml:space="preserve"> </v>
      </c>
      <c r="T246" s="20" t="str">
        <f t="shared" si="1033"/>
        <v/>
      </c>
      <c r="U246" s="40" t="str">
        <f t="shared" si="1034"/>
        <v/>
      </c>
      <c r="V246" s="109"/>
      <c r="W246" s="110">
        <v>60</v>
      </c>
      <c r="X246" s="20" t="str">
        <f>IFERROR(($N$30-N246)/W246,"")</f>
        <v/>
      </c>
      <c r="Y246" s="15" t="str">
        <f>IFERROR(($O$30-O246)/W246,"")</f>
        <v/>
      </c>
      <c r="Z246" s="15" t="str">
        <f>IFERROR(($P$30-P246)/W246,"")</f>
        <v/>
      </c>
      <c r="AA246" s="15" t="str">
        <f>IFERROR(($Q$21-Q246)/W246,"")</f>
        <v/>
      </c>
      <c r="AB246" s="17" t="str">
        <f>IFERROR(($R$30-R246)/W246,"")</f>
        <v/>
      </c>
      <c r="AC246" s="15" t="str">
        <f>IFERROR(($S$30-S246)/W246,"")</f>
        <v/>
      </c>
      <c r="AD246" s="20" t="str">
        <f>IFERROR(AVERAGE(X246:AC246), "")</f>
        <v/>
      </c>
      <c r="AE246" s="40" t="str">
        <f t="shared" si="1055"/>
        <v/>
      </c>
      <c r="AG246" s="230"/>
      <c r="AH246" s="77">
        <f>'Sample ID'!$F$21</f>
        <v>0</v>
      </c>
      <c r="AI246" s="77" t="str">
        <f>IFERROR((X246*$AH$48),"")</f>
        <v/>
      </c>
      <c r="AJ246" s="77" t="str">
        <f t="shared" ref="AJ246" si="1077">IFERROR((Y246*$AH$48),"")</f>
        <v/>
      </c>
      <c r="AK246" s="77" t="str">
        <f t="shared" ref="AK246" si="1078">IFERROR((Z246*$AH$48),"")</f>
        <v/>
      </c>
      <c r="AL246" s="77" t="str">
        <f t="shared" ref="AL246" si="1079">IFERROR((AA246*$AH$48),"")</f>
        <v/>
      </c>
      <c r="AM246" s="77" t="str">
        <f t="shared" ref="AM246" si="1080">IFERROR((AB246*$AH$48),"")</f>
        <v/>
      </c>
      <c r="AN246" s="77" t="str">
        <f t="shared" ref="AN246" si="1081">IFERROR((AC246*$AH$48),"")</f>
        <v/>
      </c>
      <c r="AO246" s="40" t="str">
        <f t="shared" si="1048"/>
        <v/>
      </c>
      <c r="AP246" s="40" t="str">
        <f t="shared" si="1061"/>
        <v/>
      </c>
      <c r="AQ246" s="15"/>
      <c r="AR246" s="15"/>
    </row>
    <row r="247" spans="3:44">
      <c r="C247" s="232">
        <v>65</v>
      </c>
      <c r="D247" s="50"/>
      <c r="E247" s="58">
        <v>1</v>
      </c>
      <c r="F247" s="58">
        <v>2</v>
      </c>
      <c r="G247" s="59">
        <v>3</v>
      </c>
      <c r="H247" s="56">
        <v>4</v>
      </c>
      <c r="I247" s="56">
        <v>5</v>
      </c>
      <c r="J247" s="57">
        <v>6</v>
      </c>
      <c r="K247" s="27"/>
      <c r="L247" s="232">
        <v>65</v>
      </c>
      <c r="M247" s="38"/>
      <c r="N247" s="59">
        <v>1</v>
      </c>
      <c r="O247" s="38">
        <v>2</v>
      </c>
      <c r="P247" s="38">
        <v>3</v>
      </c>
      <c r="Q247" s="38">
        <v>4</v>
      </c>
      <c r="R247" s="38">
        <v>5</v>
      </c>
      <c r="S247" s="50">
        <v>6</v>
      </c>
      <c r="T247" s="38" t="s">
        <v>24</v>
      </c>
      <c r="U247" s="51" t="s">
        <v>3</v>
      </c>
      <c r="V247" s="109"/>
      <c r="W247" s="38" t="s">
        <v>34</v>
      </c>
      <c r="X247" s="38">
        <v>1</v>
      </c>
      <c r="Y247" s="38">
        <v>2</v>
      </c>
      <c r="Z247" s="38">
        <v>3</v>
      </c>
      <c r="AA247" s="38">
        <v>4</v>
      </c>
      <c r="AB247" s="38">
        <v>5</v>
      </c>
      <c r="AC247" s="50">
        <v>6</v>
      </c>
      <c r="AD247" s="50" t="s">
        <v>49</v>
      </c>
      <c r="AE247" s="51" t="s">
        <v>3</v>
      </c>
      <c r="AF247" s="69"/>
      <c r="AG247" s="231">
        <v>65</v>
      </c>
      <c r="AH247" s="38" t="s">
        <v>35</v>
      </c>
      <c r="AI247" s="38"/>
      <c r="AJ247" s="38"/>
      <c r="AK247" s="38"/>
      <c r="AL247" s="38"/>
      <c r="AM247" s="38"/>
      <c r="AN247" s="38"/>
      <c r="AO247" s="52" t="s">
        <v>36</v>
      </c>
      <c r="AP247" s="51" t="s">
        <v>3</v>
      </c>
      <c r="AQ247" s="15"/>
      <c r="AR247" s="15"/>
    </row>
    <row r="248" spans="3:44">
      <c r="C248" s="232"/>
      <c r="D248" s="21" t="s">
        <v>16</v>
      </c>
      <c r="E248" s="22">
        <f>Data!B171</f>
        <v>1.9219999999999999</v>
      </c>
      <c r="F248" s="22">
        <f>Data!C171</f>
        <v>1.901</v>
      </c>
      <c r="G248" s="22">
        <f>Data!D171</f>
        <v>1.93</v>
      </c>
      <c r="H248" s="22">
        <f>Data!E171</f>
        <v>1.9219999999999999</v>
      </c>
      <c r="I248" s="22">
        <f>Data!F171</f>
        <v>1.901</v>
      </c>
      <c r="J248" s="22">
        <f>Data!G171</f>
        <v>1.93</v>
      </c>
      <c r="K248" s="22"/>
      <c r="L248" s="232"/>
      <c r="M248" s="130" t="s">
        <v>16</v>
      </c>
      <c r="N248" s="15">
        <f t="shared" ref="N248:S255" si="1082">IF(((E248-$P$11)/$P$10)&gt;0,((E248-$P$11)/$P$10)," ")</f>
        <v>1.683628318584071</v>
      </c>
      <c r="O248" s="15">
        <f t="shared" si="1082"/>
        <v>1.6631311816762107</v>
      </c>
      <c r="P248" s="15">
        <f t="shared" si="1082"/>
        <v>1.6914367516918274</v>
      </c>
      <c r="Q248" s="15">
        <f t="shared" si="1082"/>
        <v>1.683628318584071</v>
      </c>
      <c r="R248" s="15">
        <f t="shared" si="1082"/>
        <v>1.6631311816762107</v>
      </c>
      <c r="S248" s="15">
        <f t="shared" si="1082"/>
        <v>1.6914367516918274</v>
      </c>
      <c r="T248" s="20">
        <f t="shared" si="1033"/>
        <v>1.6793987506507027</v>
      </c>
      <c r="U248" s="40">
        <f t="shared" si="1034"/>
        <v>1.3075725820144025E-2</v>
      </c>
      <c r="V248" s="109"/>
      <c r="W248" s="110">
        <v>65</v>
      </c>
      <c r="X248" s="20">
        <f>IFERROR(($N$14-N248)/W248,"")</f>
        <v>7.3579465823089189E-4</v>
      </c>
      <c r="Y248" s="15">
        <f>IFERROR(($O$14-O248)/W248,"")</f>
        <v>1.0361190085292119E-3</v>
      </c>
      <c r="Z248" s="15">
        <f>IFERROR(($P$14-P248)/W248,"")</f>
        <v>1.0361190085292152E-3</v>
      </c>
      <c r="AA248" s="15">
        <f>IFERROR(($Q$14-Q248)/W248,"")</f>
        <v>7.3579465823089189E-4</v>
      </c>
      <c r="AB248" s="15">
        <f>IFERROR(($R$14-R248)/W248,"")</f>
        <v>1.0361190085292119E-3</v>
      </c>
      <c r="AC248" s="15">
        <f>IFERROR(($S$14-S248)/W248,"")</f>
        <v>1.0361190085292152E-3</v>
      </c>
      <c r="AD248" s="20">
        <f>IFERROR(AVERAGE(X248:AC248), "")</f>
        <v>9.3601089176310621E-4</v>
      </c>
      <c r="AE248" s="40">
        <f>IFERROR(STDEV(X248:AC248), "")</f>
        <v>1.5508682762212827E-4</v>
      </c>
      <c r="AG248" s="229"/>
      <c r="AH248" s="76">
        <f>'Sample ID'!$F$6</f>
        <v>1</v>
      </c>
      <c r="AI248" s="77">
        <f>IFERROR((X248*$AH$32),"")</f>
        <v>7.3579465823089189E-4</v>
      </c>
      <c r="AJ248" s="77">
        <f t="shared" ref="AJ248" si="1083">IFERROR((Y248*$AH$32),"")</f>
        <v>1.0361190085292119E-3</v>
      </c>
      <c r="AK248" s="77">
        <f t="shared" ref="AK248" si="1084">IFERROR((Z248*$AH$32),"")</f>
        <v>1.0361190085292152E-3</v>
      </c>
      <c r="AL248" s="77">
        <f t="shared" ref="AL248" si="1085">IFERROR((AA248*$AH$32),"")</f>
        <v>7.3579465823089189E-4</v>
      </c>
      <c r="AM248" s="77">
        <f t="shared" ref="AM248" si="1086">IFERROR((AB248*$AH$32),"")</f>
        <v>1.0361190085292119E-3</v>
      </c>
      <c r="AN248" s="77">
        <f t="shared" ref="AN248" si="1087">IFERROR((AC248*$AH$32),"")</f>
        <v>1.0361190085292152E-3</v>
      </c>
      <c r="AO248" s="40">
        <f>IFERROR(AVERAGE(AI248:AN248),"")</f>
        <v>9.3601089176310621E-4</v>
      </c>
      <c r="AP248" s="40">
        <f>IFERROR(STDEV(AI248:AN248), "")</f>
        <v>1.5508682762212827E-4</v>
      </c>
      <c r="AQ248" s="15"/>
      <c r="AR248" s="15"/>
    </row>
    <row r="249" spans="3:44">
      <c r="C249" s="232"/>
      <c r="D249" s="21" t="s">
        <v>17</v>
      </c>
      <c r="E249" s="22">
        <f>Data!B172</f>
        <v>2.024</v>
      </c>
      <c r="F249" s="22">
        <f>Data!C172</f>
        <v>2.024</v>
      </c>
      <c r="G249" s="22">
        <f>Data!D172</f>
        <v>2.0059999999999998</v>
      </c>
      <c r="H249" s="22">
        <f>Data!E172</f>
        <v>2.024</v>
      </c>
      <c r="I249" s="22">
        <f>Data!F172</f>
        <v>2.024</v>
      </c>
      <c r="J249" s="22">
        <f>Data!G172</f>
        <v>2.0059999999999998</v>
      </c>
      <c r="K249" s="22"/>
      <c r="L249" s="232"/>
      <c r="M249" s="130" t="s">
        <v>17</v>
      </c>
      <c r="N249" s="15">
        <f t="shared" si="1082"/>
        <v>1.783185840707965</v>
      </c>
      <c r="O249" s="15">
        <f t="shared" si="1082"/>
        <v>1.783185840707965</v>
      </c>
      <c r="P249" s="15">
        <f t="shared" si="1082"/>
        <v>1.7656168662155129</v>
      </c>
      <c r="Q249" s="15">
        <f t="shared" si="1082"/>
        <v>1.783185840707965</v>
      </c>
      <c r="R249" s="15">
        <f t="shared" si="1082"/>
        <v>1.783185840707965</v>
      </c>
      <c r="S249" s="15">
        <f t="shared" si="1082"/>
        <v>1.7656168662155129</v>
      </c>
      <c r="T249" s="20">
        <f t="shared" si="1033"/>
        <v>1.7773295158771478</v>
      </c>
      <c r="U249" s="40">
        <f t="shared" si="1034"/>
        <v>9.0725794158946493E-3</v>
      </c>
      <c r="V249" s="109"/>
      <c r="W249" s="110">
        <v>65</v>
      </c>
      <c r="X249" s="20">
        <f>IFERROR(($N$15-N249)/W249,"")</f>
        <v>-9.1598926840988316E-4</v>
      </c>
      <c r="Y249" s="15">
        <f>IFERROR(($O$15-O249)/W249,"")</f>
        <v>-9.6103792095463274E-4</v>
      </c>
      <c r="Z249" s="15">
        <f>IFERROR(($P$15-P249)/W249,"")</f>
        <v>-5.1055139550714422E-4</v>
      </c>
      <c r="AA249" s="15">
        <f>IFERROR(($Q$15-Q249)/W249,"")</f>
        <v>-9.1598926840988316E-4</v>
      </c>
      <c r="AB249" s="15">
        <f>IFERROR(($R$15-R249)/W249,"")</f>
        <v>-9.6103792095463274E-4</v>
      </c>
      <c r="AC249" s="15">
        <f>IFERROR(($S$15-S249)/W249,"")</f>
        <v>-5.1055139550714422E-4</v>
      </c>
      <c r="AD249" s="20">
        <f>IFERROR(AVERAGE(X249:AC249), "")</f>
        <v>-7.9585952829055345E-4</v>
      </c>
      <c r="AE249" s="40">
        <f>IFERROR(STDEV(X249:AC249), "")</f>
        <v>2.2191510673821369E-4</v>
      </c>
      <c r="AG249" s="229"/>
      <c r="AH249" s="77">
        <f>'Sample ID'!$F$7</f>
        <v>1</v>
      </c>
      <c r="AI249" s="77">
        <f>IFERROR((X249*$AH$33),"")</f>
        <v>-9.1598926840988316E-4</v>
      </c>
      <c r="AJ249" s="77">
        <f t="shared" ref="AJ249" si="1088">IFERROR((Y249*$AH$33),"")</f>
        <v>-9.6103792095463274E-4</v>
      </c>
      <c r="AK249" s="77">
        <f t="shared" ref="AK249" si="1089">IFERROR((Z249*$AH$33),"")</f>
        <v>-5.1055139550714422E-4</v>
      </c>
      <c r="AL249" s="77">
        <f t="shared" ref="AL249" si="1090">IFERROR((AA249*$AH$33),"")</f>
        <v>-9.1598926840988316E-4</v>
      </c>
      <c r="AM249" s="77">
        <f t="shared" ref="AM249" si="1091">IFERROR((AB249*$AH$33),"")</f>
        <v>-9.6103792095463274E-4</v>
      </c>
      <c r="AN249" s="77">
        <f t="shared" ref="AN249" si="1092">IFERROR((AC249*$AH$33),"")</f>
        <v>-5.1055139550714422E-4</v>
      </c>
      <c r="AO249" s="40">
        <f t="shared" ref="AO249:AO255" si="1093">IFERROR(AVERAGE(AI249:AN249),"")</f>
        <v>-7.9585952829055345E-4</v>
      </c>
      <c r="AP249" s="40">
        <f>IFERROR(STDEV(AI249:AN249), "")</f>
        <v>2.2191510673821369E-4</v>
      </c>
      <c r="AQ249" s="15"/>
      <c r="AR249" s="15"/>
    </row>
    <row r="250" spans="3:44">
      <c r="C250" s="232"/>
      <c r="D250" s="21" t="s">
        <v>18</v>
      </c>
      <c r="E250" s="22">
        <f>Data!B173</f>
        <v>1.986</v>
      </c>
      <c r="F250" s="22">
        <f>Data!C173</f>
        <v>1.9850000000000001</v>
      </c>
      <c r="G250" s="22">
        <f>Data!D173</f>
        <v>2.0249999999999999</v>
      </c>
      <c r="H250" s="22">
        <f>Data!E173</f>
        <v>1.986</v>
      </c>
      <c r="I250" s="22">
        <f>Data!F173</f>
        <v>1.9850000000000001</v>
      </c>
      <c r="J250" s="22">
        <f>Data!G173</f>
        <v>2.0249999999999999</v>
      </c>
      <c r="K250" s="22"/>
      <c r="L250" s="232"/>
      <c r="M250" s="130" t="s">
        <v>18</v>
      </c>
      <c r="N250" s="15">
        <f t="shared" si="1082"/>
        <v>1.7460957834461222</v>
      </c>
      <c r="O250" s="15">
        <f t="shared" si="1082"/>
        <v>1.7451197293076528</v>
      </c>
      <c r="P250" s="15">
        <f t="shared" si="1082"/>
        <v>1.7841618948464344</v>
      </c>
      <c r="Q250" s="15">
        <f t="shared" si="1082"/>
        <v>1.7460957834461222</v>
      </c>
      <c r="R250" s="15">
        <f t="shared" si="1082"/>
        <v>1.7451197293076528</v>
      </c>
      <c r="S250" s="15">
        <f t="shared" si="1082"/>
        <v>1.7841618948464344</v>
      </c>
      <c r="T250" s="20">
        <f t="shared" si="1033"/>
        <v>1.7584591358667365</v>
      </c>
      <c r="U250" s="40">
        <f t="shared" si="1034"/>
        <v>1.9914056036812556E-2</v>
      </c>
      <c r="V250" s="109"/>
      <c r="W250" s="110">
        <v>65</v>
      </c>
      <c r="X250" s="20">
        <f>IFERROR(($N$16-N250)/W250,"")</f>
        <v>-1.0511352260441215E-4</v>
      </c>
      <c r="Y250" s="15">
        <f>IFERROR(($O$16-O250)/W250,"")</f>
        <v>2.2524326272374082E-4</v>
      </c>
      <c r="Z250" s="15">
        <f>IFERROR(($P$16-P250)/W250,"")</f>
        <v>3.0032435029836434E-5</v>
      </c>
      <c r="AA250" s="15">
        <f>IFERROR(($Q$16-Q250)/W250,"")</f>
        <v>-1.0511352260441215E-4</v>
      </c>
      <c r="AB250" s="15">
        <f>IFERROR(($R$16-R250)/W250,"")</f>
        <v>2.2524326272374082E-4</v>
      </c>
      <c r="AC250" s="15">
        <f>IFERROR(($S$16-S250)/W250,"")</f>
        <v>3.0032435029836434E-5</v>
      </c>
      <c r="AD250" s="20">
        <f>IFERROR(AVERAGE(X250:AC250), "")</f>
        <v>5.0054058383055035E-5</v>
      </c>
      <c r="AE250" s="40">
        <f t="shared" ref="AE250:AE255" si="1094">IFERROR(STDEV(X250:AC250), "")</f>
        <v>1.485518103675925E-4</v>
      </c>
      <c r="AG250" s="229"/>
      <c r="AH250" s="77">
        <f>'Sample ID'!$F$8</f>
        <v>1</v>
      </c>
      <c r="AI250" s="77">
        <f>IFERROR((X250*$AH$34),"")</f>
        <v>-1.0511352260441215E-4</v>
      </c>
      <c r="AJ250" s="77">
        <f t="shared" ref="AJ250" si="1095">IFERROR((Y250*$AH$34),"")</f>
        <v>2.2524326272374082E-4</v>
      </c>
      <c r="AK250" s="77">
        <f t="shared" ref="AK250" si="1096">IFERROR((Z250*$AH$34),"")</f>
        <v>3.0032435029836434E-5</v>
      </c>
      <c r="AL250" s="77">
        <f t="shared" ref="AL250" si="1097">IFERROR((AA250*$AH$34),"")</f>
        <v>-1.0511352260441215E-4</v>
      </c>
      <c r="AM250" s="77">
        <f t="shared" ref="AM250" si="1098">IFERROR((AB250*$AH$34),"")</f>
        <v>2.2524326272374082E-4</v>
      </c>
      <c r="AN250" s="77">
        <f t="shared" ref="AN250" si="1099">IFERROR((AC250*$AH$34),"")</f>
        <v>3.0032435029836434E-5</v>
      </c>
      <c r="AO250" s="40">
        <f t="shared" si="1093"/>
        <v>5.0054058383055035E-5</v>
      </c>
      <c r="AP250" s="40">
        <f t="shared" ref="AP250:AP255" si="1100">IFERROR(STDEV(AI250:AN250), "")</f>
        <v>1.485518103675925E-4</v>
      </c>
      <c r="AQ250" s="15"/>
      <c r="AR250" s="15"/>
    </row>
    <row r="251" spans="3:44">
      <c r="C251" s="232"/>
      <c r="D251" s="21" t="s">
        <v>19</v>
      </c>
      <c r="E251" s="22">
        <f>Data!B174</f>
        <v>2.2650000000000001</v>
      </c>
      <c r="F251" s="22">
        <f>Data!C174</f>
        <v>2.274</v>
      </c>
      <c r="G251" s="22">
        <f>Data!D174</f>
        <v>2.2639999999999998</v>
      </c>
      <c r="H251" s="22">
        <f>Data!E174</f>
        <v>2.2650000000000001</v>
      </c>
      <c r="I251" s="22">
        <f>Data!F174</f>
        <v>2.274</v>
      </c>
      <c r="J251" s="22">
        <f>Data!G174</f>
        <v>2.2639999999999998</v>
      </c>
      <c r="K251" s="22"/>
      <c r="L251" s="232"/>
      <c r="M251" s="130" t="s">
        <v>19</v>
      </c>
      <c r="N251" s="15">
        <f t="shared" si="1082"/>
        <v>2.0184148880791262</v>
      </c>
      <c r="O251" s="15">
        <f t="shared" si="1082"/>
        <v>2.0271993753253517</v>
      </c>
      <c r="P251" s="15">
        <f t="shared" si="1082"/>
        <v>2.0174388339406564</v>
      </c>
      <c r="Q251" s="15">
        <f t="shared" si="1082"/>
        <v>2.0184148880791262</v>
      </c>
      <c r="R251" s="15">
        <f t="shared" si="1082"/>
        <v>2.0271993753253517</v>
      </c>
      <c r="S251" s="15">
        <f t="shared" si="1082"/>
        <v>2.0174388339406564</v>
      </c>
      <c r="T251" s="20">
        <f t="shared" si="1033"/>
        <v>2.0210176991150441</v>
      </c>
      <c r="U251" s="40">
        <f t="shared" si="1034"/>
        <v>4.8081606459944295E-3</v>
      </c>
      <c r="V251" s="109"/>
      <c r="W251" s="110">
        <v>65</v>
      </c>
      <c r="X251" s="20">
        <f>IFERROR(($N$17-N251)/W251,"")</f>
        <v>-3.2284867657069709E-3</v>
      </c>
      <c r="Y251" s="15">
        <f>IFERROR(($O$17-O251)/W251,"")</f>
        <v>-3.4086813758859519E-3</v>
      </c>
      <c r="Z251" s="15">
        <f>IFERROR(($P$17-P251)/W251,"")</f>
        <v>-3.1383894606174653E-3</v>
      </c>
      <c r="AA251" s="15">
        <f>IFERROR(($Q$17-Q251)/W251,"")</f>
        <v>-3.2284867657069709E-3</v>
      </c>
      <c r="AB251" s="15">
        <f>IFERROR(($R$17-R251)/W251,"")</f>
        <v>-3.4086813758859519E-3</v>
      </c>
      <c r="AC251" s="15">
        <f>IFERROR(($S$17-S251)/W251,"")</f>
        <v>-3.1383894606174653E-3</v>
      </c>
      <c r="AD251" s="20">
        <f t="shared" ref="AD251:AD255" si="1101">IFERROR(AVERAGE(X251:AC251), "")</f>
        <v>-3.2585192007367962E-3</v>
      </c>
      <c r="AE251" s="40">
        <f t="shared" si="1094"/>
        <v>1.2309635325302595E-4</v>
      </c>
      <c r="AG251" s="229"/>
      <c r="AH251" s="77">
        <f>'Sample ID'!$F$9</f>
        <v>1</v>
      </c>
      <c r="AI251" s="77">
        <f>IFERROR((X251*$AH$35),"")</f>
        <v>-3.2284867657069709E-3</v>
      </c>
      <c r="AJ251" s="77">
        <f t="shared" ref="AJ251" si="1102">IFERROR((Y251*$AH$35),"")</f>
        <v>-3.4086813758859519E-3</v>
      </c>
      <c r="AK251" s="77">
        <f t="shared" ref="AK251" si="1103">IFERROR((Z251*$AH$35),"")</f>
        <v>-3.1383894606174653E-3</v>
      </c>
      <c r="AL251" s="77">
        <f t="shared" ref="AL251" si="1104">IFERROR((AA251*$AH$35),"")</f>
        <v>-3.2284867657069709E-3</v>
      </c>
      <c r="AM251" s="77">
        <f t="shared" ref="AM251" si="1105">IFERROR((AB251*$AH$35),"")</f>
        <v>-3.4086813758859519E-3</v>
      </c>
      <c r="AN251" s="77">
        <f t="shared" ref="AN251" si="1106">IFERROR((AC251*$AH$35),"")</f>
        <v>-3.1383894606174653E-3</v>
      </c>
      <c r="AO251" s="40">
        <f t="shared" si="1093"/>
        <v>-3.2585192007367962E-3</v>
      </c>
      <c r="AP251" s="40">
        <f t="shared" si="1100"/>
        <v>1.2309635325302595E-4</v>
      </c>
      <c r="AQ251" s="15"/>
      <c r="AR251" s="15"/>
    </row>
    <row r="252" spans="3:44">
      <c r="C252" s="232"/>
      <c r="D252" s="21" t="s">
        <v>20</v>
      </c>
      <c r="E252" s="22">
        <f>Data!B175</f>
        <v>2.1160000000000001</v>
      </c>
      <c r="F252" s="22">
        <f>Data!C175</f>
        <v>2.1880000000000002</v>
      </c>
      <c r="G252" s="22">
        <f>Data!D175</f>
        <v>2.1949999999999998</v>
      </c>
      <c r="H252" s="22">
        <f>Data!E175</f>
        <v>2.1160000000000001</v>
      </c>
      <c r="I252" s="22">
        <f>Data!F175</f>
        <v>2.1880000000000002</v>
      </c>
      <c r="J252" s="22">
        <f>Data!G175</f>
        <v>2.1949999999999998</v>
      </c>
      <c r="K252" s="22"/>
      <c r="L252" s="232"/>
      <c r="M252" s="130" t="s">
        <v>20</v>
      </c>
      <c r="N252" s="15">
        <f t="shared" si="1082"/>
        <v>1.8729828214471635</v>
      </c>
      <c r="O252" s="15">
        <f t="shared" si="1082"/>
        <v>1.943258719416971</v>
      </c>
      <c r="P252" s="15">
        <f t="shared" si="1082"/>
        <v>1.9500910983862574</v>
      </c>
      <c r="Q252" s="15">
        <f t="shared" si="1082"/>
        <v>1.8729828214471635</v>
      </c>
      <c r="R252" s="15">
        <f t="shared" si="1082"/>
        <v>1.943258719416971</v>
      </c>
      <c r="S252" s="15">
        <f t="shared" si="1082"/>
        <v>1.9500910983862574</v>
      </c>
      <c r="T252" s="20">
        <f t="shared" si="1033"/>
        <v>1.9221108797501305</v>
      </c>
      <c r="U252" s="40">
        <f t="shared" si="1034"/>
        <v>3.817690333235306E-2</v>
      </c>
      <c r="V252" s="109"/>
      <c r="W252" s="110">
        <v>65</v>
      </c>
      <c r="X252" s="20">
        <f>IFERROR(($N$18-N252)/W252,"")</f>
        <v>-3.7540543787290248E-4</v>
      </c>
      <c r="Y252" s="15">
        <f>IFERROR(($O$18-O252)/W252,"")</f>
        <v>-1.8169623193048498E-3</v>
      </c>
      <c r="Z252" s="15">
        <f>IFERROR(($P$18-P252)/W252,"")</f>
        <v>-1.5917190565811056E-3</v>
      </c>
      <c r="AA252" s="15">
        <f>IFERROR(($Q$18-Q252)/W252,"")</f>
        <v>-3.7540543787290248E-4</v>
      </c>
      <c r="AB252" s="15">
        <f>IFERROR(($R$18-R252)/W252,"")</f>
        <v>-1.8169623193048498E-3</v>
      </c>
      <c r="AC252" s="15">
        <f>IFERROR(($S$18-S252)/W252,"")</f>
        <v>-1.5917190565811056E-3</v>
      </c>
      <c r="AD252" s="20">
        <f t="shared" si="1101"/>
        <v>-1.2613622712529526E-3</v>
      </c>
      <c r="AE252" s="40">
        <f t="shared" si="1094"/>
        <v>6.9361272468732222E-4</v>
      </c>
      <c r="AG252" s="229"/>
      <c r="AH252" s="77">
        <f>'Sample ID'!$F$10</f>
        <v>1</v>
      </c>
      <c r="AI252" s="77">
        <f>IFERROR((X252*$AH$36),"")</f>
        <v>-3.7540543787290248E-4</v>
      </c>
      <c r="AJ252" s="77">
        <f t="shared" ref="AJ252" si="1107">IFERROR((Y252*$AH$36),"")</f>
        <v>-1.8169623193048498E-3</v>
      </c>
      <c r="AK252" s="77">
        <f t="shared" ref="AK252" si="1108">IFERROR((Z252*$AH$36),"")</f>
        <v>-1.5917190565811056E-3</v>
      </c>
      <c r="AL252" s="77">
        <f t="shared" ref="AL252" si="1109">IFERROR((AA252*$AH$36),"")</f>
        <v>-3.7540543787290248E-4</v>
      </c>
      <c r="AM252" s="77">
        <f t="shared" ref="AM252" si="1110">IFERROR((AB252*$AH$36),"")</f>
        <v>-1.8169623193048498E-3</v>
      </c>
      <c r="AN252" s="77">
        <f t="shared" ref="AN252" si="1111">IFERROR((AC252*$AH$36),"")</f>
        <v>-1.5917190565811056E-3</v>
      </c>
      <c r="AO252" s="40">
        <f t="shared" si="1093"/>
        <v>-1.2613622712529526E-3</v>
      </c>
      <c r="AP252" s="40">
        <f t="shared" si="1100"/>
        <v>6.9361272468732222E-4</v>
      </c>
      <c r="AQ252" s="15"/>
      <c r="AR252" s="15"/>
    </row>
    <row r="253" spans="3:44">
      <c r="C253" s="232"/>
      <c r="D253" s="21" t="s">
        <v>21</v>
      </c>
      <c r="E253" s="22">
        <f>Data!B176</f>
        <v>1.129</v>
      </c>
      <c r="F253" s="22">
        <f>Data!C176</f>
        <v>1.1990000000000001</v>
      </c>
      <c r="G253" s="22">
        <f>Data!D176</f>
        <v>1.101</v>
      </c>
      <c r="H253" s="22">
        <f>Data!E176</f>
        <v>1.129</v>
      </c>
      <c r="I253" s="22">
        <f>Data!F176</f>
        <v>1.1990000000000001</v>
      </c>
      <c r="J253" s="22">
        <f>Data!G176</f>
        <v>1.101</v>
      </c>
      <c r="K253" s="22"/>
      <c r="L253" s="232"/>
      <c r="M253" s="130" t="s">
        <v>21</v>
      </c>
      <c r="N253" s="15">
        <f t="shared" si="1082"/>
        <v>0.90961738677772008</v>
      </c>
      <c r="O253" s="15">
        <f t="shared" si="1082"/>
        <v>0.97794117647058854</v>
      </c>
      <c r="P253" s="15">
        <f t="shared" si="1082"/>
        <v>0.88228787090057281</v>
      </c>
      <c r="Q253" s="15">
        <f t="shared" si="1082"/>
        <v>0.90961738677772008</v>
      </c>
      <c r="R253" s="15">
        <f t="shared" si="1082"/>
        <v>0.97794117647058854</v>
      </c>
      <c r="S253" s="15">
        <f t="shared" si="1082"/>
        <v>0.88228787090057281</v>
      </c>
      <c r="T253" s="20">
        <f t="shared" si="1033"/>
        <v>0.92328214471629388</v>
      </c>
      <c r="U253" s="40">
        <f t="shared" si="1034"/>
        <v>4.4067520227555904E-2</v>
      </c>
      <c r="V253" s="109"/>
      <c r="W253" s="110">
        <v>65</v>
      </c>
      <c r="X253" s="20">
        <f>IFERROR(($N$19-N253)/W253,"")</f>
        <v>1.1532455051455576E-2</v>
      </c>
      <c r="Y253" s="15">
        <f>IFERROR(($O$19-O253)/W253,"")</f>
        <v>1.1036919873463341E-2</v>
      </c>
      <c r="Z253" s="15">
        <f>IFERROR(($P$19-P253)/W253,"")</f>
        <v>1.1922876706843393E-2</v>
      </c>
      <c r="AA253" s="15">
        <f>IFERROR(($Q$19-Q253)/W253,"")</f>
        <v>1.1532455051455576E-2</v>
      </c>
      <c r="AB253" s="15">
        <f>IFERROR(($R$19-R253)/W253,"")</f>
        <v>1.1036919873463341E-2</v>
      </c>
      <c r="AC253" s="15">
        <f>IFERROR(($S$19-S253)/W253,"")</f>
        <v>1.1922876706843393E-2</v>
      </c>
      <c r="AD253" s="20">
        <f t="shared" si="1101"/>
        <v>1.1497417210587437E-2</v>
      </c>
      <c r="AE253" s="40">
        <f t="shared" si="1094"/>
        <v>3.9714039368739961E-4</v>
      </c>
      <c r="AG253" s="229"/>
      <c r="AH253" s="77">
        <f>'Sample ID'!$F$11</f>
        <v>0</v>
      </c>
      <c r="AI253" s="77">
        <f>IFERROR((X253*$AH$37),"")</f>
        <v>0</v>
      </c>
      <c r="AJ253" s="77">
        <f t="shared" ref="AJ253" si="1112">IFERROR((Y253*$AH$37),"")</f>
        <v>0</v>
      </c>
      <c r="AK253" s="77">
        <f t="shared" ref="AK253" si="1113">IFERROR((Z253*$AH$37),"")</f>
        <v>0</v>
      </c>
      <c r="AL253" s="77">
        <f t="shared" ref="AL253" si="1114">IFERROR((AA253*$AH$37),"")</f>
        <v>0</v>
      </c>
      <c r="AM253" s="77">
        <f t="shared" ref="AM253" si="1115">IFERROR((AB253*$AH$37),"")</f>
        <v>0</v>
      </c>
      <c r="AN253" s="77">
        <f t="shared" ref="AN253" si="1116">IFERROR((AC253*$AH$37),"")</f>
        <v>0</v>
      </c>
      <c r="AO253" s="40">
        <f t="shared" si="1093"/>
        <v>0</v>
      </c>
      <c r="AP253" s="40">
        <f t="shared" si="1100"/>
        <v>0</v>
      </c>
      <c r="AQ253" s="15"/>
      <c r="AR253" s="15"/>
    </row>
    <row r="254" spans="3:44">
      <c r="C254" s="232"/>
      <c r="D254" s="21" t="s">
        <v>22</v>
      </c>
      <c r="E254" s="22">
        <f>Data!B177</f>
        <v>1.631</v>
      </c>
      <c r="F254" s="22">
        <f>Data!C177</f>
        <v>1.6379999999999999</v>
      </c>
      <c r="G254" s="22">
        <f>Data!D177</f>
        <v>1.641</v>
      </c>
      <c r="H254" s="22">
        <f>Data!E177</f>
        <v>1.631</v>
      </c>
      <c r="I254" s="22">
        <f>Data!F177</f>
        <v>1.6379999999999999</v>
      </c>
      <c r="J254" s="22">
        <f>Data!G177</f>
        <v>1.641</v>
      </c>
      <c r="K254" s="22"/>
      <c r="L254" s="232"/>
      <c r="M254" s="130" t="s">
        <v>22</v>
      </c>
      <c r="N254" s="15">
        <f t="shared" si="1082"/>
        <v>1.3995965642894328</v>
      </c>
      <c r="O254" s="15">
        <f t="shared" si="1082"/>
        <v>1.4064289432587196</v>
      </c>
      <c r="P254" s="15">
        <f t="shared" si="1082"/>
        <v>1.4093571056741283</v>
      </c>
      <c r="Q254" s="15">
        <f t="shared" si="1082"/>
        <v>1.3995965642894328</v>
      </c>
      <c r="R254" s="15">
        <f t="shared" si="1082"/>
        <v>1.4064289432587196</v>
      </c>
      <c r="S254" s="15">
        <f t="shared" si="1082"/>
        <v>1.4093571056741283</v>
      </c>
      <c r="T254" s="20">
        <f t="shared" si="1033"/>
        <v>1.4051275377407604</v>
      </c>
      <c r="U254" s="40">
        <f t="shared" si="1034"/>
        <v>4.4799360952781217E-3</v>
      </c>
      <c r="V254" s="109"/>
      <c r="W254" s="110">
        <v>65</v>
      </c>
      <c r="X254" s="20">
        <f>IFERROR(($N$20-N254)/W254,"")</f>
        <v>4.1444760341168511E-3</v>
      </c>
      <c r="Y254" s="15">
        <f>IFERROR(($O$20-O254)/W254,"")</f>
        <v>3.9642814239378562E-3</v>
      </c>
      <c r="Z254" s="15">
        <f>IFERROR(($P$20-P254)/W254,"")</f>
        <v>4.0994273815720978E-3</v>
      </c>
      <c r="AA254" s="15">
        <f>IFERROR(($Q$20-Q254)/W254,"")</f>
        <v>4.1444760341168511E-3</v>
      </c>
      <c r="AB254" s="15">
        <f>IFERROR(($R$20-R254)/W254,"")</f>
        <v>3.9642814239378562E-3</v>
      </c>
      <c r="AC254" s="15">
        <f>IFERROR(($S$20-S254)/W254,"")</f>
        <v>4.0994273815720978E-3</v>
      </c>
      <c r="AD254" s="20">
        <f t="shared" si="1101"/>
        <v>4.0693949465422687E-3</v>
      </c>
      <c r="AE254" s="40">
        <f t="shared" si="1094"/>
        <v>8.3876026371094484E-5</v>
      </c>
      <c r="AG254" s="229"/>
      <c r="AH254" s="77">
        <f>'Sample ID'!$F$12</f>
        <v>0</v>
      </c>
      <c r="AI254" s="77">
        <f>IFERROR((X254*$AH$38),"")</f>
        <v>0</v>
      </c>
      <c r="AJ254" s="77">
        <f t="shared" ref="AJ254" si="1117">IFERROR((Y254*$AH$38),"")</f>
        <v>0</v>
      </c>
      <c r="AK254" s="77">
        <f t="shared" ref="AK254" si="1118">IFERROR((Z254*$AH$38),"")</f>
        <v>0</v>
      </c>
      <c r="AL254" s="77">
        <f t="shared" ref="AL254" si="1119">IFERROR((AA254*$AH$38),"")</f>
        <v>0</v>
      </c>
      <c r="AM254" s="77">
        <f t="shared" ref="AM254" si="1120">IFERROR((AB254*$AH$38),"")</f>
        <v>0</v>
      </c>
      <c r="AN254" s="77">
        <f t="shared" ref="AN254" si="1121">IFERROR((AC254*$AH$38),"")</f>
        <v>0</v>
      </c>
      <c r="AO254" s="40">
        <f t="shared" si="1093"/>
        <v>0</v>
      </c>
      <c r="AP254" s="40">
        <f t="shared" si="1100"/>
        <v>0</v>
      </c>
      <c r="AQ254" s="15"/>
      <c r="AR254" s="15"/>
    </row>
    <row r="255" spans="3:44">
      <c r="C255" s="232"/>
      <c r="D255" s="21" t="s">
        <v>23</v>
      </c>
      <c r="E255" s="22">
        <f>Data!B178</f>
        <v>0</v>
      </c>
      <c r="F255" s="22">
        <f>Data!C178</f>
        <v>0</v>
      </c>
      <c r="G255" s="22">
        <f>Data!D178</f>
        <v>0</v>
      </c>
      <c r="H255" s="22">
        <f>Data!E178</f>
        <v>0</v>
      </c>
      <c r="I255" s="22">
        <f>Data!F178</f>
        <v>0</v>
      </c>
      <c r="J255" s="22">
        <f>Data!G178</f>
        <v>0</v>
      </c>
      <c r="K255" s="22"/>
      <c r="L255" s="232"/>
      <c r="M255" s="130" t="s">
        <v>23</v>
      </c>
      <c r="N255" s="15" t="str">
        <f t="shared" si="1082"/>
        <v xml:space="preserve"> </v>
      </c>
      <c r="O255" s="15" t="str">
        <f t="shared" si="1082"/>
        <v xml:space="preserve"> </v>
      </c>
      <c r="P255" s="15" t="str">
        <f t="shared" si="1082"/>
        <v xml:space="preserve"> </v>
      </c>
      <c r="Q255" s="15" t="str">
        <f t="shared" si="1082"/>
        <v xml:space="preserve"> </v>
      </c>
      <c r="R255" s="15" t="str">
        <f t="shared" si="1082"/>
        <v xml:space="preserve"> </v>
      </c>
      <c r="S255" s="15" t="str">
        <f t="shared" si="1082"/>
        <v xml:space="preserve"> </v>
      </c>
      <c r="T255" s="20" t="str">
        <f t="shared" si="1033"/>
        <v/>
      </c>
      <c r="U255" s="40" t="str">
        <f t="shared" si="1034"/>
        <v/>
      </c>
      <c r="V255" s="109"/>
      <c r="W255" s="110">
        <v>65</v>
      </c>
      <c r="X255" s="20" t="str">
        <f>IFERROR(($N$21-N255)/W255,"")</f>
        <v/>
      </c>
      <c r="Y255" s="15" t="str">
        <f>IFERROR(($O$21-O255)/W255,"")</f>
        <v/>
      </c>
      <c r="Z255" s="15" t="str">
        <f>IFERROR(($P$21-P255)/W255,"")</f>
        <v/>
      </c>
      <c r="AA255" s="15" t="str">
        <f>IFERROR(($Q$21-Q255)/W255,"")</f>
        <v/>
      </c>
      <c r="AB255" s="15" t="str">
        <f>IFERROR(($R$21-R255)/W255,"")</f>
        <v/>
      </c>
      <c r="AC255" s="15" t="str">
        <f>IFERROR(($S$21-S255)/W255,"")</f>
        <v/>
      </c>
      <c r="AD255" s="20" t="str">
        <f t="shared" si="1101"/>
        <v/>
      </c>
      <c r="AE255" s="40" t="str">
        <f t="shared" si="1094"/>
        <v/>
      </c>
      <c r="AG255" s="229"/>
      <c r="AH255" s="77">
        <f>'Sample ID'!$F$13</f>
        <v>0</v>
      </c>
      <c r="AI255" s="77" t="str">
        <f>IFERROR((X255*$AH$39),"")</f>
        <v/>
      </c>
      <c r="AJ255" s="77" t="str">
        <f t="shared" ref="AJ255" si="1122">IFERROR((Y255*$AH$39),"")</f>
        <v/>
      </c>
      <c r="AK255" s="77" t="str">
        <f t="shared" ref="AK255" si="1123">IFERROR((Z255*$AH$39),"")</f>
        <v/>
      </c>
      <c r="AL255" s="77" t="str">
        <f t="shared" ref="AL255" si="1124">IFERROR((AA255*$AH$39),"")</f>
        <v/>
      </c>
      <c r="AM255" s="77" t="str">
        <f t="shared" ref="AM255" si="1125">IFERROR((AB255*$AH$39),"")</f>
        <v/>
      </c>
      <c r="AN255" s="77" t="str">
        <f t="shared" ref="AN255" si="1126">IFERROR((AC255*$AH$39),"")</f>
        <v/>
      </c>
      <c r="AO255" s="40" t="str">
        <f t="shared" si="1093"/>
        <v/>
      </c>
      <c r="AP255" s="40" t="str">
        <f t="shared" si="1100"/>
        <v/>
      </c>
      <c r="AQ255" s="15"/>
      <c r="AR255" s="15"/>
    </row>
    <row r="256" spans="3:44">
      <c r="C256" s="232"/>
      <c r="D256" s="39"/>
      <c r="E256" s="56">
        <v>7</v>
      </c>
      <c r="F256" s="56">
        <v>8</v>
      </c>
      <c r="G256" s="57">
        <v>9</v>
      </c>
      <c r="H256" s="56">
        <v>10</v>
      </c>
      <c r="I256" s="56">
        <v>11</v>
      </c>
      <c r="J256" s="57">
        <v>12</v>
      </c>
      <c r="K256" s="27"/>
      <c r="L256" s="232"/>
      <c r="M256" s="38"/>
      <c r="N256" s="59">
        <v>7</v>
      </c>
      <c r="O256" s="38">
        <v>8</v>
      </c>
      <c r="P256" s="38">
        <v>9</v>
      </c>
      <c r="Q256" s="38">
        <v>10</v>
      </c>
      <c r="R256" s="38">
        <v>11</v>
      </c>
      <c r="S256" s="50">
        <v>12</v>
      </c>
      <c r="T256" s="38" t="s">
        <v>24</v>
      </c>
      <c r="U256" s="51" t="s">
        <v>3</v>
      </c>
      <c r="V256" s="109"/>
      <c r="W256" s="98"/>
      <c r="X256" s="38">
        <v>7</v>
      </c>
      <c r="Y256" s="38">
        <v>8</v>
      </c>
      <c r="Z256" s="38">
        <v>9</v>
      </c>
      <c r="AA256" s="38">
        <v>10</v>
      </c>
      <c r="AB256" s="38">
        <v>11</v>
      </c>
      <c r="AC256" s="50">
        <v>12</v>
      </c>
      <c r="AD256" s="50" t="s">
        <v>49</v>
      </c>
      <c r="AE256" s="51" t="s">
        <v>3</v>
      </c>
      <c r="AG256" s="229"/>
      <c r="AH256" s="119"/>
      <c r="AI256" s="119"/>
      <c r="AJ256" s="119"/>
      <c r="AK256" s="119"/>
      <c r="AL256" s="119"/>
      <c r="AM256" s="119"/>
      <c r="AN256" s="119"/>
      <c r="AO256" s="100" t="str">
        <f>IFERROR(#REF!/(#REF!/W256), " ")</f>
        <v xml:space="preserve"> </v>
      </c>
      <c r="AP256" s="51" t="s">
        <v>3</v>
      </c>
      <c r="AQ256" s="15"/>
      <c r="AR256" s="15"/>
    </row>
    <row r="257" spans="3:44">
      <c r="C257" s="232"/>
      <c r="D257" s="21" t="s">
        <v>16</v>
      </c>
      <c r="E257" s="22">
        <f>Data!H171</f>
        <v>0</v>
      </c>
      <c r="F257" s="22">
        <f>Data!I171</f>
        <v>0</v>
      </c>
      <c r="G257" s="22">
        <f>Data!J171</f>
        <v>0</v>
      </c>
      <c r="H257" s="22">
        <f>Data!K171</f>
        <v>0</v>
      </c>
      <c r="I257" s="22">
        <f>Data!L171</f>
        <v>0</v>
      </c>
      <c r="J257" s="22">
        <f>Data!M171</f>
        <v>0</v>
      </c>
      <c r="K257" s="22"/>
      <c r="L257" s="232"/>
      <c r="M257" s="130" t="s">
        <v>16</v>
      </c>
      <c r="N257" s="15" t="str">
        <f t="shared" ref="N257:S264" si="1127">IF(((E257-$P$11)/$P$10)&gt;0,((E257-$P$11)/$P$10)," ")</f>
        <v xml:space="preserve"> </v>
      </c>
      <c r="O257" s="15" t="str">
        <f t="shared" si="1127"/>
        <v xml:space="preserve"> </v>
      </c>
      <c r="P257" s="15" t="str">
        <f t="shared" si="1127"/>
        <v xml:space="preserve"> </v>
      </c>
      <c r="Q257" s="15" t="str">
        <f t="shared" si="1127"/>
        <v xml:space="preserve"> </v>
      </c>
      <c r="R257" s="15" t="str">
        <f t="shared" si="1127"/>
        <v xml:space="preserve"> </v>
      </c>
      <c r="S257" s="15" t="str">
        <f t="shared" si="1127"/>
        <v xml:space="preserve"> </v>
      </c>
      <c r="T257" s="20" t="str">
        <f t="shared" si="1033"/>
        <v/>
      </c>
      <c r="U257" s="40" t="str">
        <f t="shared" si="1034"/>
        <v/>
      </c>
      <c r="V257" s="109"/>
      <c r="W257" s="110">
        <v>65</v>
      </c>
      <c r="X257" s="20" t="str">
        <f>IFERROR(($N$23-N257)/W257,"")</f>
        <v/>
      </c>
      <c r="Y257" s="15" t="str">
        <f>IFERROR(($O$23-O257)/W257,"")</f>
        <v/>
      </c>
      <c r="Z257" s="15" t="str">
        <f>IFERROR(($P$23-P257)/W257,"")</f>
        <v/>
      </c>
      <c r="AA257" s="15" t="str">
        <f>IFERROR(($Q$23-Q257)/W257,"")</f>
        <v/>
      </c>
      <c r="AB257" s="15" t="str">
        <f>IFERROR(($R$23-R257)/W257,"")</f>
        <v/>
      </c>
      <c r="AC257" s="15" t="str">
        <f>IFERROR(($S$23-S257)/W257,"")</f>
        <v/>
      </c>
      <c r="AD257" s="20" t="str">
        <f t="shared" ref="AD257:AD258" si="1128">IFERROR(AVERAGE(X257:AC257), "")</f>
        <v/>
      </c>
      <c r="AE257" s="40" t="str">
        <f t="shared" ref="AE257:AE258" si="1129">IFERROR(STDEV(X257:AC257), "")</f>
        <v/>
      </c>
      <c r="AG257" s="229"/>
      <c r="AH257" s="77">
        <f>'Sample ID'!$F$14</f>
        <v>0</v>
      </c>
      <c r="AI257" s="77" t="str">
        <f>IFERROR((X257*$AH$41),"")</f>
        <v/>
      </c>
      <c r="AJ257" s="77" t="str">
        <f t="shared" ref="AJ257" si="1130">IFERROR((Y257*$AH$41),"")</f>
        <v/>
      </c>
      <c r="AK257" s="77" t="str">
        <f t="shared" ref="AK257" si="1131">IFERROR((Z257*$AH$41),"")</f>
        <v/>
      </c>
      <c r="AL257" s="77" t="str">
        <f t="shared" ref="AL257" si="1132">IFERROR((AA257*$AH$41),"")</f>
        <v/>
      </c>
      <c r="AM257" s="77" t="str">
        <f t="shared" ref="AM257" si="1133">IFERROR((AB257*$AH$41),"")</f>
        <v/>
      </c>
      <c r="AN257" s="77" t="str">
        <f t="shared" ref="AN257" si="1134">IFERROR((AC257*$AH$41),"")</f>
        <v/>
      </c>
      <c r="AO257" s="40" t="str">
        <f>IFERROR(AVERAGE(AI257:AN257),"")</f>
        <v/>
      </c>
      <c r="AP257" s="40" t="str">
        <f t="shared" ref="AP257:AP258" si="1135">IFERROR(STDEV(AI257:AN257), "")</f>
        <v/>
      </c>
      <c r="AQ257" s="15"/>
      <c r="AR257" s="15"/>
    </row>
    <row r="258" spans="3:44">
      <c r="C258" s="232"/>
      <c r="D258" s="21" t="s">
        <v>17</v>
      </c>
      <c r="E258" s="22">
        <f>Data!H172</f>
        <v>0</v>
      </c>
      <c r="F258" s="22">
        <f>Data!I172</f>
        <v>0</v>
      </c>
      <c r="G258" s="22">
        <f>Data!J172</f>
        <v>0</v>
      </c>
      <c r="H258" s="22">
        <f>Data!K172</f>
        <v>0</v>
      </c>
      <c r="I258" s="22">
        <f>Data!L172</f>
        <v>0</v>
      </c>
      <c r="J258" s="22">
        <f>Data!M172</f>
        <v>0</v>
      </c>
      <c r="K258" s="22"/>
      <c r="L258" s="232"/>
      <c r="M258" s="130" t="s">
        <v>17</v>
      </c>
      <c r="N258" s="15" t="str">
        <f t="shared" si="1127"/>
        <v xml:space="preserve"> </v>
      </c>
      <c r="O258" s="15" t="str">
        <f t="shared" si="1127"/>
        <v xml:space="preserve"> </v>
      </c>
      <c r="P258" s="15" t="str">
        <f t="shared" si="1127"/>
        <v xml:space="preserve"> </v>
      </c>
      <c r="Q258" s="15" t="str">
        <f t="shared" si="1127"/>
        <v xml:space="preserve"> </v>
      </c>
      <c r="R258" s="15" t="str">
        <f t="shared" si="1127"/>
        <v xml:space="preserve"> </v>
      </c>
      <c r="S258" s="15" t="str">
        <f t="shared" si="1127"/>
        <v xml:space="preserve"> </v>
      </c>
      <c r="T258" s="20" t="str">
        <f t="shared" si="1033"/>
        <v/>
      </c>
      <c r="U258" s="40" t="str">
        <f t="shared" si="1034"/>
        <v/>
      </c>
      <c r="V258" s="109"/>
      <c r="W258" s="110">
        <v>65</v>
      </c>
      <c r="X258" s="20" t="str">
        <f>IFERROR(($N$24-N258)/W258,"")</f>
        <v/>
      </c>
      <c r="Y258" s="15" t="str">
        <f>IFERROR(($O$24-O258)/W258,"")</f>
        <v/>
      </c>
      <c r="Z258" s="15" t="str">
        <f>IFERROR(($P$24-P258)/W258,"")</f>
        <v/>
      </c>
      <c r="AA258" s="15" t="str">
        <f>IFERROR(($Q$24-Q258)/W258,"")</f>
        <v/>
      </c>
      <c r="AB258" s="15" t="str">
        <f>IFERROR(($R$24-R258)/W258,"")</f>
        <v/>
      </c>
      <c r="AC258" s="15" t="str">
        <f>IFERROR(($S$24-S258)/W258,"")</f>
        <v/>
      </c>
      <c r="AD258" s="20" t="str">
        <f t="shared" si="1128"/>
        <v/>
      </c>
      <c r="AE258" s="40" t="str">
        <f t="shared" si="1129"/>
        <v/>
      </c>
      <c r="AG258" s="229"/>
      <c r="AH258" s="77">
        <f>'Sample ID'!$F$15</f>
        <v>0</v>
      </c>
      <c r="AI258" s="77" t="str">
        <f>IFERROR((X258*$AH$42),"")</f>
        <v/>
      </c>
      <c r="AJ258" s="77" t="str">
        <f t="shared" ref="AJ258" si="1136">IFERROR((Y258*$AH$42),"")</f>
        <v/>
      </c>
      <c r="AK258" s="77" t="str">
        <f t="shared" ref="AK258" si="1137">IFERROR((Z258*$AH$42),"")</f>
        <v/>
      </c>
      <c r="AL258" s="77" t="str">
        <f t="shared" ref="AL258" si="1138">IFERROR((AA258*$AH$42),"")</f>
        <v/>
      </c>
      <c r="AM258" s="77" t="str">
        <f t="shared" ref="AM258" si="1139">IFERROR((AB258*$AH$42),"")</f>
        <v/>
      </c>
      <c r="AN258" s="77" t="str">
        <f t="shared" ref="AN258" si="1140">IFERROR((AC258*$AH$42),"")</f>
        <v/>
      </c>
      <c r="AO258" s="40" t="str">
        <f t="shared" ref="AO258:AO264" si="1141">IFERROR(AVERAGE(AI258:AN258),"")</f>
        <v/>
      </c>
      <c r="AP258" s="40" t="str">
        <f t="shared" si="1135"/>
        <v/>
      </c>
      <c r="AQ258" s="15"/>
      <c r="AR258" s="15"/>
    </row>
    <row r="259" spans="3:44">
      <c r="C259" s="232"/>
      <c r="D259" s="21" t="s">
        <v>18</v>
      </c>
      <c r="E259" s="22">
        <f>Data!H173</f>
        <v>0</v>
      </c>
      <c r="F259" s="22">
        <f>Data!I173</f>
        <v>0</v>
      </c>
      <c r="G259" s="22">
        <f>Data!J173</f>
        <v>0</v>
      </c>
      <c r="H259" s="22">
        <f>Data!K173</f>
        <v>0</v>
      </c>
      <c r="I259" s="22">
        <f>Data!L173</f>
        <v>0</v>
      </c>
      <c r="J259" s="22">
        <f>Data!M173</f>
        <v>0</v>
      </c>
      <c r="K259" s="22"/>
      <c r="L259" s="232"/>
      <c r="M259" s="130" t="s">
        <v>18</v>
      </c>
      <c r="N259" s="15" t="str">
        <f t="shared" si="1127"/>
        <v xml:space="preserve"> </v>
      </c>
      <c r="O259" s="15" t="str">
        <f t="shared" si="1127"/>
        <v xml:space="preserve"> </v>
      </c>
      <c r="P259" s="15" t="str">
        <f t="shared" si="1127"/>
        <v xml:space="preserve"> </v>
      </c>
      <c r="Q259" s="15" t="str">
        <f t="shared" si="1127"/>
        <v xml:space="preserve"> </v>
      </c>
      <c r="R259" s="15" t="str">
        <f t="shared" si="1127"/>
        <v xml:space="preserve"> </v>
      </c>
      <c r="S259" s="15" t="str">
        <f t="shared" si="1127"/>
        <v xml:space="preserve"> </v>
      </c>
      <c r="T259" s="20" t="str">
        <f t="shared" si="1033"/>
        <v/>
      </c>
      <c r="U259" s="40" t="str">
        <f t="shared" si="1034"/>
        <v/>
      </c>
      <c r="V259" s="109"/>
      <c r="W259" s="110">
        <v>65</v>
      </c>
      <c r="X259" s="20" t="str">
        <f>IFERROR(($N$25-N259)/W259,"")</f>
        <v/>
      </c>
      <c r="Y259" s="15" t="str">
        <f>IFERROR(($O$25-O259)/W259,"")</f>
        <v/>
      </c>
      <c r="Z259" s="15" t="str">
        <f>IFERROR(($P$25-P259)/W259,"")</f>
        <v/>
      </c>
      <c r="AA259" s="15" t="str">
        <f>IFERROR(($Q$25-Q259)/W259,"")</f>
        <v/>
      </c>
      <c r="AB259" s="15" t="str">
        <f>IFERROR(($R$25-R259)/W259,"")</f>
        <v/>
      </c>
      <c r="AC259" s="15" t="str">
        <f>IFERROR(($S$25-S259)/W259,"")</f>
        <v/>
      </c>
      <c r="AD259" s="20" t="str">
        <f>IFERROR(AVERAGE(X259:AC259), "")</f>
        <v/>
      </c>
      <c r="AE259" s="40" t="str">
        <f>IFERROR(STDEV(X259:AC259), "")</f>
        <v/>
      </c>
      <c r="AG259" s="229"/>
      <c r="AH259" s="77">
        <f>'Sample ID'!$F$16</f>
        <v>0</v>
      </c>
      <c r="AI259" s="77" t="str">
        <f>IFERROR((X259*$AH$43),"")</f>
        <v/>
      </c>
      <c r="AJ259" s="77" t="str">
        <f t="shared" ref="AJ259" si="1142">IFERROR((Y259*$AH$43),"")</f>
        <v/>
      </c>
      <c r="AK259" s="77" t="str">
        <f t="shared" ref="AK259" si="1143">IFERROR((Z259*$AH$43),"")</f>
        <v/>
      </c>
      <c r="AL259" s="77" t="str">
        <f t="shared" ref="AL259" si="1144">IFERROR((AA259*$AH$43),"")</f>
        <v/>
      </c>
      <c r="AM259" s="77" t="str">
        <f t="shared" ref="AM259" si="1145">IFERROR((AB259*$AH$43),"")</f>
        <v/>
      </c>
      <c r="AN259" s="77" t="str">
        <f t="shared" ref="AN259" si="1146">IFERROR((AC259*$AH$43),"")</f>
        <v/>
      </c>
      <c r="AO259" s="40" t="str">
        <f t="shared" si="1141"/>
        <v/>
      </c>
      <c r="AP259" s="40" t="str">
        <f>IFERROR(STDEV(AI259:AN259), "")</f>
        <v/>
      </c>
      <c r="AQ259" s="15"/>
      <c r="AR259" s="15"/>
    </row>
    <row r="260" spans="3:44">
      <c r="C260" s="232"/>
      <c r="D260" s="21" t="s">
        <v>19</v>
      </c>
      <c r="E260" s="22">
        <f>Data!H174</f>
        <v>0</v>
      </c>
      <c r="F260" s="22">
        <f>Data!I174</f>
        <v>0</v>
      </c>
      <c r="G260" s="22">
        <f>Data!J174</f>
        <v>0</v>
      </c>
      <c r="H260" s="22">
        <f>Data!K174</f>
        <v>0</v>
      </c>
      <c r="I260" s="22">
        <f>Data!L174</f>
        <v>0</v>
      </c>
      <c r="J260" s="22">
        <f>Data!M174</f>
        <v>0</v>
      </c>
      <c r="K260" s="22"/>
      <c r="L260" s="232"/>
      <c r="M260" s="130" t="s">
        <v>19</v>
      </c>
      <c r="N260" s="15" t="str">
        <f t="shared" si="1127"/>
        <v xml:space="preserve"> </v>
      </c>
      <c r="O260" s="15" t="str">
        <f t="shared" si="1127"/>
        <v xml:space="preserve"> </v>
      </c>
      <c r="P260" s="15" t="str">
        <f t="shared" si="1127"/>
        <v xml:space="preserve"> </v>
      </c>
      <c r="Q260" s="15" t="str">
        <f t="shared" si="1127"/>
        <v xml:space="preserve"> </v>
      </c>
      <c r="R260" s="15" t="str">
        <f t="shared" si="1127"/>
        <v xml:space="preserve"> </v>
      </c>
      <c r="S260" s="15" t="str">
        <f t="shared" si="1127"/>
        <v xml:space="preserve"> </v>
      </c>
      <c r="T260" s="20" t="str">
        <f t="shared" si="1033"/>
        <v/>
      </c>
      <c r="U260" s="40" t="str">
        <f t="shared" si="1034"/>
        <v/>
      </c>
      <c r="V260" s="109"/>
      <c r="W260" s="110">
        <v>65</v>
      </c>
      <c r="X260" s="20" t="str">
        <f>IFERROR(($N$26-N260)/W260,"")</f>
        <v/>
      </c>
      <c r="Y260" s="15" t="str">
        <f>IFERROR(($O$26-O260)/W260,"")</f>
        <v/>
      </c>
      <c r="Z260" s="15" t="str">
        <f>IFERROR(($P$26-P260)/W260,"")</f>
        <v/>
      </c>
      <c r="AA260" s="15" t="str">
        <f>IFERROR(($Q$17-Q260)/W260,"")</f>
        <v/>
      </c>
      <c r="AB260" s="15" t="str">
        <f>IFERROR(($R$26-R260)/W260,"")</f>
        <v/>
      </c>
      <c r="AC260" s="15" t="str">
        <f>IFERROR(($S$26-S260)/W260,"")</f>
        <v/>
      </c>
      <c r="AD260" s="20" t="str">
        <f t="shared" ref="AD260:AD263" si="1147">IFERROR(AVERAGE(X260:AC260), "")</f>
        <v/>
      </c>
      <c r="AE260" s="40" t="str">
        <f t="shared" ref="AE260:AE264" si="1148">IFERROR(STDEV(X260:AC260), "")</f>
        <v/>
      </c>
      <c r="AG260" s="229"/>
      <c r="AH260" s="77">
        <f>'Sample ID'!$F$17</f>
        <v>0</v>
      </c>
      <c r="AI260" s="77" t="str">
        <f>IFERROR((X260*$AH$44),"")</f>
        <v/>
      </c>
      <c r="AJ260" s="77" t="str">
        <f t="shared" ref="AJ260" si="1149">IFERROR((Y260*$AH$44),"")</f>
        <v/>
      </c>
      <c r="AK260" s="77" t="str">
        <f t="shared" ref="AK260" si="1150">IFERROR((Z260*$AH$44),"")</f>
        <v/>
      </c>
      <c r="AL260" s="77" t="str">
        <f t="shared" ref="AL260" si="1151">IFERROR((AA260*$AH$44),"")</f>
        <v/>
      </c>
      <c r="AM260" s="77" t="str">
        <f t="shared" ref="AM260" si="1152">IFERROR((AB260*$AH$44),"")</f>
        <v/>
      </c>
      <c r="AN260" s="77" t="str">
        <f t="shared" ref="AN260" si="1153">IFERROR((AC260*$AH$44),"")</f>
        <v/>
      </c>
      <c r="AO260" s="40" t="str">
        <f t="shared" si="1141"/>
        <v/>
      </c>
      <c r="AP260" s="40" t="str">
        <f t="shared" ref="AP260:AP264" si="1154">IFERROR(STDEV(AI260:AN260), "")</f>
        <v/>
      </c>
      <c r="AQ260" s="15"/>
      <c r="AR260" s="15"/>
    </row>
    <row r="261" spans="3:44">
      <c r="C261" s="232"/>
      <c r="D261" s="21" t="s">
        <v>20</v>
      </c>
      <c r="E261" s="22">
        <f>Data!H175</f>
        <v>0</v>
      </c>
      <c r="F261" s="22">
        <f>Data!I175</f>
        <v>0</v>
      </c>
      <c r="G261" s="22">
        <f>Data!J175</f>
        <v>0</v>
      </c>
      <c r="H261" s="22">
        <f>Data!K175</f>
        <v>0</v>
      </c>
      <c r="I261" s="22">
        <f>Data!L175</f>
        <v>0</v>
      </c>
      <c r="J261" s="22">
        <f>Data!M175</f>
        <v>0</v>
      </c>
      <c r="K261" s="22"/>
      <c r="L261" s="232"/>
      <c r="M261" s="130" t="s">
        <v>20</v>
      </c>
      <c r="N261" s="15" t="str">
        <f t="shared" si="1127"/>
        <v xml:space="preserve"> </v>
      </c>
      <c r="O261" s="15" t="str">
        <f t="shared" si="1127"/>
        <v xml:space="preserve"> </v>
      </c>
      <c r="P261" s="15" t="str">
        <f t="shared" si="1127"/>
        <v xml:space="preserve"> </v>
      </c>
      <c r="Q261" s="15" t="str">
        <f t="shared" si="1127"/>
        <v xml:space="preserve"> </v>
      </c>
      <c r="R261" s="15" t="str">
        <f t="shared" si="1127"/>
        <v xml:space="preserve"> </v>
      </c>
      <c r="S261" s="15" t="str">
        <f t="shared" si="1127"/>
        <v xml:space="preserve"> </v>
      </c>
      <c r="T261" s="20" t="str">
        <f t="shared" si="1033"/>
        <v/>
      </c>
      <c r="U261" s="40" t="str">
        <f t="shared" si="1034"/>
        <v/>
      </c>
      <c r="V261" s="109"/>
      <c r="W261" s="110">
        <v>65</v>
      </c>
      <c r="X261" s="20" t="str">
        <f>IFERROR(($N$27-N261)/W261,"")</f>
        <v/>
      </c>
      <c r="Y261" s="15" t="str">
        <f>IFERROR(($O$27-O261)/W261,"")</f>
        <v/>
      </c>
      <c r="Z261" s="15" t="str">
        <f>IFERROR(($P$27-P261)/W261,"")</f>
        <v/>
      </c>
      <c r="AA261" s="15" t="str">
        <f>IFERROR(($Q$18-Q261)/W261,"")</f>
        <v/>
      </c>
      <c r="AB261" s="15" t="str">
        <f>IFERROR(($R$27-R261)/W261,"")</f>
        <v/>
      </c>
      <c r="AC261" s="15" t="str">
        <f>IFERROR(($S$27-S261)/W261,"")</f>
        <v/>
      </c>
      <c r="AD261" s="20" t="str">
        <f t="shared" si="1147"/>
        <v/>
      </c>
      <c r="AE261" s="40" t="str">
        <f t="shared" si="1148"/>
        <v/>
      </c>
      <c r="AG261" s="229"/>
      <c r="AH261" s="77">
        <f>'Sample ID'!$F$18</f>
        <v>0</v>
      </c>
      <c r="AI261" s="77" t="str">
        <f>IFERROR((X261*$AH$45),"")</f>
        <v/>
      </c>
      <c r="AJ261" s="77" t="str">
        <f t="shared" ref="AJ261" si="1155">IFERROR((Y261*$AH$45),"")</f>
        <v/>
      </c>
      <c r="AK261" s="77" t="str">
        <f t="shared" ref="AK261" si="1156">IFERROR((Z261*$AH$45),"")</f>
        <v/>
      </c>
      <c r="AL261" s="77" t="str">
        <f t="shared" ref="AL261" si="1157">IFERROR((AA261*$AH$45),"")</f>
        <v/>
      </c>
      <c r="AM261" s="77" t="str">
        <f t="shared" ref="AM261" si="1158">IFERROR((AB261*$AH$45),"")</f>
        <v/>
      </c>
      <c r="AN261" s="77" t="str">
        <f t="shared" ref="AN261" si="1159">IFERROR((AC261*$AH$45),"")</f>
        <v/>
      </c>
      <c r="AO261" s="40" t="str">
        <f t="shared" si="1141"/>
        <v/>
      </c>
      <c r="AP261" s="40" t="str">
        <f t="shared" si="1154"/>
        <v/>
      </c>
      <c r="AQ261" s="15"/>
      <c r="AR261" s="15"/>
    </row>
    <row r="262" spans="3:44">
      <c r="C262" s="232"/>
      <c r="D262" s="21" t="s">
        <v>21</v>
      </c>
      <c r="E262" s="22">
        <f>Data!H176</f>
        <v>0</v>
      </c>
      <c r="F262" s="22">
        <f>Data!I176</f>
        <v>0</v>
      </c>
      <c r="G262" s="22">
        <f>Data!J176</f>
        <v>0</v>
      </c>
      <c r="H262" s="22">
        <f>Data!K176</f>
        <v>0</v>
      </c>
      <c r="I262" s="22">
        <f>Data!L176</f>
        <v>0</v>
      </c>
      <c r="J262" s="22">
        <f>Data!M176</f>
        <v>0</v>
      </c>
      <c r="K262" s="22"/>
      <c r="L262" s="232"/>
      <c r="M262" s="130" t="s">
        <v>21</v>
      </c>
      <c r="N262" s="15" t="str">
        <f t="shared" si="1127"/>
        <v xml:space="preserve"> </v>
      </c>
      <c r="O262" s="15" t="str">
        <f t="shared" si="1127"/>
        <v xml:space="preserve"> </v>
      </c>
      <c r="P262" s="15" t="str">
        <f t="shared" si="1127"/>
        <v xml:space="preserve"> </v>
      </c>
      <c r="Q262" s="15" t="str">
        <f t="shared" si="1127"/>
        <v xml:space="preserve"> </v>
      </c>
      <c r="R262" s="15" t="str">
        <f t="shared" si="1127"/>
        <v xml:space="preserve"> </v>
      </c>
      <c r="S262" s="15" t="str">
        <f t="shared" si="1127"/>
        <v xml:space="preserve"> </v>
      </c>
      <c r="T262" s="20" t="str">
        <f t="shared" si="1033"/>
        <v/>
      </c>
      <c r="U262" s="40" t="str">
        <f t="shared" si="1034"/>
        <v/>
      </c>
      <c r="V262" s="109"/>
      <c r="W262" s="110">
        <v>65</v>
      </c>
      <c r="X262" s="20" t="str">
        <f>IFERROR(($N$28-N262)/W262,"")</f>
        <v/>
      </c>
      <c r="Y262" s="15" t="str">
        <f>IFERROR(($O$28-O262)/W262,"")</f>
        <v/>
      </c>
      <c r="Z262" s="15" t="str">
        <f>IFERROR(($P$28-P262)/W262,"")</f>
        <v/>
      </c>
      <c r="AA262" s="15" t="str">
        <f>IFERROR(($Q$19-Q262)/W262,"")</f>
        <v/>
      </c>
      <c r="AB262" s="15" t="str">
        <f>IFERROR(($R$28-R262)/W262,"")</f>
        <v/>
      </c>
      <c r="AC262" s="15" t="str">
        <f>IFERROR(($S$28-S262)/W262,"")</f>
        <v/>
      </c>
      <c r="AD262" s="20" t="str">
        <f t="shared" si="1147"/>
        <v/>
      </c>
      <c r="AE262" s="40" t="str">
        <f t="shared" si="1148"/>
        <v/>
      </c>
      <c r="AG262" s="229"/>
      <c r="AH262" s="77">
        <f>'Sample ID'!$F$19</f>
        <v>0</v>
      </c>
      <c r="AI262" s="77" t="str">
        <f>IFERROR((X262*$AH$46),"")</f>
        <v/>
      </c>
      <c r="AJ262" s="77" t="str">
        <f t="shared" ref="AJ262" si="1160">IFERROR((Y262*$AH$46),"")</f>
        <v/>
      </c>
      <c r="AK262" s="77" t="str">
        <f t="shared" ref="AK262" si="1161">IFERROR((Z262*$AH$46),"")</f>
        <v/>
      </c>
      <c r="AL262" s="77" t="str">
        <f t="shared" ref="AL262" si="1162">IFERROR((AA262*$AH$46),"")</f>
        <v/>
      </c>
      <c r="AM262" s="77" t="str">
        <f t="shared" ref="AM262" si="1163">IFERROR((AB262*$AH$46),"")</f>
        <v/>
      </c>
      <c r="AN262" s="77" t="str">
        <f t="shared" ref="AN262" si="1164">IFERROR((AC262*$AH$46),"")</f>
        <v/>
      </c>
      <c r="AO262" s="40" t="str">
        <f t="shared" si="1141"/>
        <v/>
      </c>
      <c r="AP262" s="40" t="str">
        <f t="shared" si="1154"/>
        <v/>
      </c>
      <c r="AQ262" s="15"/>
      <c r="AR262" s="15"/>
    </row>
    <row r="263" spans="3:44">
      <c r="C263" s="232"/>
      <c r="D263" s="21" t="s">
        <v>22</v>
      </c>
      <c r="E263" s="22">
        <f>Data!H177</f>
        <v>0</v>
      </c>
      <c r="F263" s="22">
        <f>Data!I177</f>
        <v>0</v>
      </c>
      <c r="G263" s="22">
        <f>Data!J177</f>
        <v>0</v>
      </c>
      <c r="H263" s="22">
        <f>Data!K177</f>
        <v>0</v>
      </c>
      <c r="I263" s="22">
        <f>Data!L177</f>
        <v>0</v>
      </c>
      <c r="J263" s="22">
        <f>Data!M177</f>
        <v>0</v>
      </c>
      <c r="K263" s="22"/>
      <c r="L263" s="232"/>
      <c r="M263" s="130" t="s">
        <v>22</v>
      </c>
      <c r="N263" s="15" t="str">
        <f t="shared" si="1127"/>
        <v xml:space="preserve"> </v>
      </c>
      <c r="O263" s="15" t="str">
        <f t="shared" si="1127"/>
        <v xml:space="preserve"> </v>
      </c>
      <c r="P263" s="15" t="str">
        <f t="shared" si="1127"/>
        <v xml:space="preserve"> </v>
      </c>
      <c r="Q263" s="15" t="str">
        <f t="shared" si="1127"/>
        <v xml:space="preserve"> </v>
      </c>
      <c r="R263" s="15" t="str">
        <f t="shared" si="1127"/>
        <v xml:space="preserve"> </v>
      </c>
      <c r="S263" s="15" t="str">
        <f t="shared" si="1127"/>
        <v xml:space="preserve"> </v>
      </c>
      <c r="T263" s="20" t="str">
        <f t="shared" si="1033"/>
        <v/>
      </c>
      <c r="U263" s="40" t="str">
        <f t="shared" si="1034"/>
        <v/>
      </c>
      <c r="V263" s="109"/>
      <c r="W263" s="110">
        <v>65</v>
      </c>
      <c r="X263" s="20" t="str">
        <f>IFERROR(($N$29-N263)/W263,"")</f>
        <v/>
      </c>
      <c r="Y263" s="15" t="str">
        <f>IFERROR(($O$29-O263)/W263,"")</f>
        <v/>
      </c>
      <c r="Z263" s="15" t="str">
        <f>IFERROR(($P$29-P263)/W263,"")</f>
        <v/>
      </c>
      <c r="AA263" s="15" t="str">
        <f>IFERROR(($Q$20-Q263)/W263,"")</f>
        <v/>
      </c>
      <c r="AB263" s="15" t="str">
        <f>IFERROR(($R$29-R263)/W263,"")</f>
        <v/>
      </c>
      <c r="AC263" s="15" t="str">
        <f>IFERROR(($S$29-S263)/W263,"")</f>
        <v/>
      </c>
      <c r="AD263" s="20" t="str">
        <f t="shared" si="1147"/>
        <v/>
      </c>
      <c r="AE263" s="40" t="str">
        <f t="shared" si="1148"/>
        <v/>
      </c>
      <c r="AG263" s="229"/>
      <c r="AH263" s="77">
        <f>'Sample ID'!$F$20</f>
        <v>0</v>
      </c>
      <c r="AI263" s="77" t="str">
        <f>IFERROR((X263*$AH$47),"")</f>
        <v/>
      </c>
      <c r="AJ263" s="77" t="str">
        <f t="shared" ref="AJ263" si="1165">IFERROR((Y263*$AH$47),"")</f>
        <v/>
      </c>
      <c r="AK263" s="77" t="str">
        <f t="shared" ref="AK263" si="1166">IFERROR((Z263*$AH$47),"")</f>
        <v/>
      </c>
      <c r="AL263" s="77" t="str">
        <f t="shared" ref="AL263" si="1167">IFERROR((AA263*$AH$47),"")</f>
        <v/>
      </c>
      <c r="AM263" s="77" t="str">
        <f t="shared" ref="AM263" si="1168">IFERROR((AB263*$AH$47),"")</f>
        <v/>
      </c>
      <c r="AN263" s="77" t="str">
        <f t="shared" ref="AN263" si="1169">IFERROR((AC263*$AH$47),"")</f>
        <v/>
      </c>
      <c r="AO263" s="40" t="str">
        <f t="shared" si="1141"/>
        <v/>
      </c>
      <c r="AP263" s="40" t="str">
        <f t="shared" si="1154"/>
        <v/>
      </c>
      <c r="AQ263" s="15"/>
      <c r="AR263" s="15"/>
    </row>
    <row r="264" spans="3:44">
      <c r="C264" s="232"/>
      <c r="D264" s="21" t="s">
        <v>23</v>
      </c>
      <c r="E264" s="22">
        <f>Data!H178</f>
        <v>0</v>
      </c>
      <c r="F264" s="22">
        <f>Data!I178</f>
        <v>0</v>
      </c>
      <c r="G264" s="22">
        <f>Data!J178</f>
        <v>0</v>
      </c>
      <c r="H264" s="22">
        <f>Data!K178</f>
        <v>0</v>
      </c>
      <c r="I264" s="22">
        <f>Data!L178</f>
        <v>0</v>
      </c>
      <c r="J264" s="22">
        <f>Data!M178</f>
        <v>0</v>
      </c>
      <c r="K264" s="22"/>
      <c r="L264" s="232"/>
      <c r="M264" s="130" t="s">
        <v>23</v>
      </c>
      <c r="N264" s="15" t="str">
        <f t="shared" si="1127"/>
        <v xml:space="preserve"> </v>
      </c>
      <c r="O264" s="15" t="str">
        <f t="shared" si="1127"/>
        <v xml:space="preserve"> </v>
      </c>
      <c r="P264" s="15" t="str">
        <f t="shared" si="1127"/>
        <v xml:space="preserve"> </v>
      </c>
      <c r="Q264" s="15" t="str">
        <f t="shared" si="1127"/>
        <v xml:space="preserve"> </v>
      </c>
      <c r="R264" s="15" t="str">
        <f t="shared" si="1127"/>
        <v xml:space="preserve"> </v>
      </c>
      <c r="S264" s="15" t="str">
        <f t="shared" si="1127"/>
        <v xml:space="preserve"> </v>
      </c>
      <c r="T264" s="20" t="str">
        <f t="shared" si="1033"/>
        <v/>
      </c>
      <c r="U264" s="40" t="str">
        <f t="shared" si="1034"/>
        <v/>
      </c>
      <c r="V264" s="109"/>
      <c r="W264" s="110">
        <v>65</v>
      </c>
      <c r="X264" s="20" t="str">
        <f>IFERROR(($N$30-N264)/W264,"")</f>
        <v/>
      </c>
      <c r="Y264" s="15" t="str">
        <f>IFERROR(($O$30-O264)/W264,"")</f>
        <v/>
      </c>
      <c r="Z264" s="15" t="str">
        <f>IFERROR(($P$30-P264)/W264,"")</f>
        <v/>
      </c>
      <c r="AA264" s="15" t="str">
        <f>IFERROR(($Q$21-Q264)/W264,"")</f>
        <v/>
      </c>
      <c r="AB264" s="17" t="str">
        <f>IFERROR(($R$30-R264)/W264,"")</f>
        <v/>
      </c>
      <c r="AC264" s="15" t="str">
        <f>IFERROR(($S$30-S264)/W264,"")</f>
        <v/>
      </c>
      <c r="AD264" s="20" t="str">
        <f>IFERROR(AVERAGE(X264:AC264), "")</f>
        <v/>
      </c>
      <c r="AE264" s="40" t="str">
        <f t="shared" si="1148"/>
        <v/>
      </c>
      <c r="AG264" s="230"/>
      <c r="AH264" s="77">
        <f>'Sample ID'!$F$21</f>
        <v>0</v>
      </c>
      <c r="AI264" s="77" t="str">
        <f>IFERROR((X264*$AH$48),"")</f>
        <v/>
      </c>
      <c r="AJ264" s="77" t="str">
        <f t="shared" ref="AJ264" si="1170">IFERROR((Y264*$AH$48),"")</f>
        <v/>
      </c>
      <c r="AK264" s="77" t="str">
        <f t="shared" ref="AK264" si="1171">IFERROR((Z264*$AH$48),"")</f>
        <v/>
      </c>
      <c r="AL264" s="77" t="str">
        <f t="shared" ref="AL264" si="1172">IFERROR((AA264*$AH$48),"")</f>
        <v/>
      </c>
      <c r="AM264" s="77" t="str">
        <f t="shared" ref="AM264" si="1173">IFERROR((AB264*$AH$48),"")</f>
        <v/>
      </c>
      <c r="AN264" s="77" t="str">
        <f t="shared" ref="AN264" si="1174">IFERROR((AC264*$AH$48),"")</f>
        <v/>
      </c>
      <c r="AO264" s="40" t="str">
        <f t="shared" si="1141"/>
        <v/>
      </c>
      <c r="AP264" s="40" t="str">
        <f t="shared" si="1154"/>
        <v/>
      </c>
      <c r="AQ264" s="15"/>
      <c r="AR264" s="15"/>
    </row>
    <row r="265" spans="3:44">
      <c r="C265" s="232">
        <v>70</v>
      </c>
      <c r="D265" s="50"/>
      <c r="E265" s="58">
        <v>1</v>
      </c>
      <c r="F265" s="58">
        <v>2</v>
      </c>
      <c r="G265" s="59">
        <v>3</v>
      </c>
      <c r="H265" s="56">
        <v>4</v>
      </c>
      <c r="I265" s="56">
        <v>5</v>
      </c>
      <c r="J265" s="57">
        <v>6</v>
      </c>
      <c r="K265" s="27"/>
      <c r="L265" s="232">
        <v>70</v>
      </c>
      <c r="M265" s="38"/>
      <c r="N265" s="59">
        <v>1</v>
      </c>
      <c r="O265" s="38">
        <v>2</v>
      </c>
      <c r="P265" s="38">
        <v>3</v>
      </c>
      <c r="Q265" s="38">
        <v>4</v>
      </c>
      <c r="R265" s="38">
        <v>5</v>
      </c>
      <c r="S265" s="50">
        <v>6</v>
      </c>
      <c r="T265" s="38" t="s">
        <v>24</v>
      </c>
      <c r="U265" s="51" t="s">
        <v>3</v>
      </c>
      <c r="V265" s="109"/>
      <c r="W265" s="38" t="s">
        <v>34</v>
      </c>
      <c r="X265" s="38">
        <v>1</v>
      </c>
      <c r="Y265" s="38">
        <v>2</v>
      </c>
      <c r="Z265" s="38">
        <v>3</v>
      </c>
      <c r="AA265" s="38">
        <v>4</v>
      </c>
      <c r="AB265" s="38">
        <v>5</v>
      </c>
      <c r="AC265" s="50">
        <v>6</v>
      </c>
      <c r="AD265" s="50" t="s">
        <v>49</v>
      </c>
      <c r="AE265" s="51" t="s">
        <v>3</v>
      </c>
      <c r="AF265" s="69"/>
      <c r="AG265" s="231">
        <v>70</v>
      </c>
      <c r="AH265" s="38" t="s">
        <v>35</v>
      </c>
      <c r="AI265" s="38"/>
      <c r="AJ265" s="38"/>
      <c r="AK265" s="38"/>
      <c r="AL265" s="38"/>
      <c r="AM265" s="38"/>
      <c r="AN265" s="38"/>
      <c r="AO265" s="52" t="s">
        <v>36</v>
      </c>
      <c r="AP265" s="51" t="s">
        <v>3</v>
      </c>
      <c r="AQ265" s="15"/>
      <c r="AR265" s="15"/>
    </row>
    <row r="266" spans="3:44">
      <c r="C266" s="232"/>
      <c r="D266" s="21" t="s">
        <v>16</v>
      </c>
      <c r="E266" s="22">
        <f>Data!B183</f>
        <v>1.919</v>
      </c>
      <c r="F266" s="22">
        <f>Data!C183</f>
        <v>1.905</v>
      </c>
      <c r="G266" s="22">
        <f>Data!D183</f>
        <v>1.925</v>
      </c>
      <c r="H266" s="22">
        <f>Data!E183</f>
        <v>1.919</v>
      </c>
      <c r="I266" s="22">
        <f>Data!F183</f>
        <v>1.905</v>
      </c>
      <c r="J266" s="22">
        <f>Data!G183</f>
        <v>1.925</v>
      </c>
      <c r="K266" s="22"/>
      <c r="L266" s="232"/>
      <c r="M266" s="130" t="s">
        <v>16</v>
      </c>
      <c r="N266" s="15">
        <f t="shared" ref="N266:S273" si="1175">IF(((E266-$P$11)/$P$10)&gt;0,((E266-$P$11)/$P$10)," ")</f>
        <v>1.6807001561686625</v>
      </c>
      <c r="O266" s="15">
        <f t="shared" si="1175"/>
        <v>1.6670353982300889</v>
      </c>
      <c r="P266" s="15">
        <f t="shared" si="1175"/>
        <v>1.6865564809994797</v>
      </c>
      <c r="Q266" s="15">
        <f t="shared" si="1175"/>
        <v>1.6807001561686625</v>
      </c>
      <c r="R266" s="15">
        <f t="shared" si="1175"/>
        <v>1.6670353982300889</v>
      </c>
      <c r="S266" s="15">
        <f t="shared" si="1175"/>
        <v>1.6865564809994797</v>
      </c>
      <c r="T266" s="20">
        <f t="shared" si="1033"/>
        <v>1.6780973451327437</v>
      </c>
      <c r="U266" s="40">
        <f t="shared" si="1034"/>
        <v>8.9598721905561583E-3</v>
      </c>
      <c r="V266" s="109"/>
      <c r="W266" s="110">
        <v>70</v>
      </c>
      <c r="X266" s="20">
        <f>IFERROR(($N$14-N266)/W266,"")</f>
        <v>7.2506878857737814E-4</v>
      </c>
      <c r="Y266" s="15">
        <f>IFERROR(($O$14-O266)/W266,"")</f>
        <v>9.0633598572172113E-4</v>
      </c>
      <c r="Z266" s="15">
        <f>IFERROR(($P$14-P266)/W266,"")</f>
        <v>1.0318286606678091E-3</v>
      </c>
      <c r="AA266" s="15">
        <f>IFERROR(($Q$14-Q266)/W266,"")</f>
        <v>7.2506878857737814E-4</v>
      </c>
      <c r="AB266" s="15">
        <f>IFERROR(($R$14-R266)/W266,"")</f>
        <v>9.0633598572172113E-4</v>
      </c>
      <c r="AC266" s="15">
        <f>IFERROR(($S$14-S266)/W266,"")</f>
        <v>1.0318286606678091E-3</v>
      </c>
      <c r="AD266" s="20">
        <f>IFERROR(AVERAGE(X266:AC266), "")</f>
        <v>8.8774447832230265E-4</v>
      </c>
      <c r="AE266" s="40">
        <f>IFERROR(STDEV(X266:AC266), "")</f>
        <v>1.3794096676990884E-4</v>
      </c>
      <c r="AG266" s="229"/>
      <c r="AH266" s="76">
        <f>'Sample ID'!$F$6</f>
        <v>1</v>
      </c>
      <c r="AI266" s="77">
        <f>IFERROR((X266*$AH$32),"")</f>
        <v>7.2506878857737814E-4</v>
      </c>
      <c r="AJ266" s="77">
        <f t="shared" ref="AJ266" si="1176">IFERROR((Y266*$AH$32),"")</f>
        <v>9.0633598572172113E-4</v>
      </c>
      <c r="AK266" s="77">
        <f t="shared" ref="AK266" si="1177">IFERROR((Z266*$AH$32),"")</f>
        <v>1.0318286606678091E-3</v>
      </c>
      <c r="AL266" s="77">
        <f t="shared" ref="AL266" si="1178">IFERROR((AA266*$AH$32),"")</f>
        <v>7.2506878857737814E-4</v>
      </c>
      <c r="AM266" s="77">
        <f t="shared" ref="AM266" si="1179">IFERROR((AB266*$AH$32),"")</f>
        <v>9.0633598572172113E-4</v>
      </c>
      <c r="AN266" s="77">
        <f t="shared" ref="AN266" si="1180">IFERROR((AC266*$AH$32),"")</f>
        <v>1.0318286606678091E-3</v>
      </c>
      <c r="AO266" s="40">
        <f>IFERROR(AVERAGE(AI266:AN266),"")</f>
        <v>8.8774447832230265E-4</v>
      </c>
      <c r="AP266" s="40">
        <f>IFERROR(STDEV(AI266:AN266), "")</f>
        <v>1.3794096676990884E-4</v>
      </c>
      <c r="AQ266" s="15"/>
      <c r="AR266" s="15"/>
    </row>
    <row r="267" spans="3:44">
      <c r="C267" s="232"/>
      <c r="D267" s="21" t="s">
        <v>17</v>
      </c>
      <c r="E267" s="22">
        <f>Data!B184</f>
        <v>2.016</v>
      </c>
      <c r="F267" s="22">
        <f>Data!C184</f>
        <v>2.0219999999999998</v>
      </c>
      <c r="G267" s="22">
        <f>Data!D184</f>
        <v>2.016</v>
      </c>
      <c r="H267" s="22">
        <f>Data!E184</f>
        <v>2.016</v>
      </c>
      <c r="I267" s="22">
        <f>Data!F184</f>
        <v>2.0219999999999998</v>
      </c>
      <c r="J267" s="22">
        <f>Data!G184</f>
        <v>2.016</v>
      </c>
      <c r="K267" s="22"/>
      <c r="L267" s="232"/>
      <c r="M267" s="130" t="s">
        <v>17</v>
      </c>
      <c r="N267" s="15">
        <f t="shared" si="1175"/>
        <v>1.7753774076002087</v>
      </c>
      <c r="O267" s="15">
        <f t="shared" si="1175"/>
        <v>1.7812337324310257</v>
      </c>
      <c r="P267" s="15">
        <f t="shared" si="1175"/>
        <v>1.7753774076002087</v>
      </c>
      <c r="Q267" s="15">
        <f t="shared" si="1175"/>
        <v>1.7753774076002087</v>
      </c>
      <c r="R267" s="15">
        <f t="shared" si="1175"/>
        <v>1.7812337324310257</v>
      </c>
      <c r="S267" s="15">
        <f t="shared" si="1175"/>
        <v>1.7753774076002087</v>
      </c>
      <c r="T267" s="20">
        <f t="shared" si="1033"/>
        <v>1.7773295158771478</v>
      </c>
      <c r="U267" s="40">
        <f t="shared" si="1034"/>
        <v>3.0241931386313582E-3</v>
      </c>
      <c r="V267" s="109"/>
      <c r="W267" s="110">
        <v>70</v>
      </c>
      <c r="X267" s="20">
        <f>IFERROR(($N$15-N267)/W267,"")</f>
        <v>-7.3901241912694348E-4</v>
      </c>
      <c r="Y267" s="15">
        <f>IFERROR(($O$15-O267)/W267,"")</f>
        <v>-8.6450509407302509E-4</v>
      </c>
      <c r="Z267" s="15">
        <f>IFERROR(($P$15-P267)/W267,"")</f>
        <v>-6.1351974418085862E-4</v>
      </c>
      <c r="AA267" s="15">
        <f>IFERROR(($Q$15-Q267)/W267,"")</f>
        <v>-7.3901241912694348E-4</v>
      </c>
      <c r="AB267" s="15">
        <f>IFERROR(($R$15-R267)/W267,"")</f>
        <v>-8.6450509407302509E-4</v>
      </c>
      <c r="AC267" s="15">
        <f>IFERROR(($S$15-S267)/W267,"")</f>
        <v>-6.1351974418085862E-4</v>
      </c>
      <c r="AD267" s="20">
        <f>IFERROR(AVERAGE(X267:AC267), "")</f>
        <v>-7.3901241912694251E-4</v>
      </c>
      <c r="AE267" s="40">
        <f>IFERROR(STDEV(X267:AC267), "")</f>
        <v>1.1224406074309074E-4</v>
      </c>
      <c r="AG267" s="229"/>
      <c r="AH267" s="77">
        <f>'Sample ID'!$F$7</f>
        <v>1</v>
      </c>
      <c r="AI267" s="77">
        <f>IFERROR((X267*$AH$33),"")</f>
        <v>-7.3901241912694348E-4</v>
      </c>
      <c r="AJ267" s="77">
        <f t="shared" ref="AJ267" si="1181">IFERROR((Y267*$AH$33),"")</f>
        <v>-8.6450509407302509E-4</v>
      </c>
      <c r="AK267" s="77">
        <f t="shared" ref="AK267" si="1182">IFERROR((Z267*$AH$33),"")</f>
        <v>-6.1351974418085862E-4</v>
      </c>
      <c r="AL267" s="77">
        <f t="shared" ref="AL267" si="1183">IFERROR((AA267*$AH$33),"")</f>
        <v>-7.3901241912694348E-4</v>
      </c>
      <c r="AM267" s="77">
        <f t="shared" ref="AM267" si="1184">IFERROR((AB267*$AH$33),"")</f>
        <v>-8.6450509407302509E-4</v>
      </c>
      <c r="AN267" s="77">
        <f t="shared" ref="AN267" si="1185">IFERROR((AC267*$AH$33),"")</f>
        <v>-6.1351974418085862E-4</v>
      </c>
      <c r="AO267" s="40">
        <f t="shared" ref="AO267:AO273" si="1186">IFERROR(AVERAGE(AI267:AN267),"")</f>
        <v>-7.3901241912694251E-4</v>
      </c>
      <c r="AP267" s="40">
        <f>IFERROR(STDEV(AI267:AN267), "")</f>
        <v>1.1224406074309074E-4</v>
      </c>
      <c r="AQ267" s="15"/>
      <c r="AR267" s="15"/>
    </row>
    <row r="268" spans="3:44">
      <c r="C268" s="232"/>
      <c r="D268" s="21" t="s">
        <v>18</v>
      </c>
      <c r="E268" s="22">
        <f>Data!B185</f>
        <v>2.004</v>
      </c>
      <c r="F268" s="22">
        <f>Data!C185</f>
        <v>1.998</v>
      </c>
      <c r="G268" s="22">
        <f>Data!D185</f>
        <v>2.0259999999999998</v>
      </c>
      <c r="H268" s="22">
        <f>Data!E185</f>
        <v>2.004</v>
      </c>
      <c r="I268" s="22">
        <f>Data!F185</f>
        <v>1.998</v>
      </c>
      <c r="J268" s="22">
        <f>Data!G185</f>
        <v>2.0259999999999998</v>
      </c>
      <c r="K268" s="22"/>
      <c r="L268" s="232"/>
      <c r="M268" s="130" t="s">
        <v>18</v>
      </c>
      <c r="N268" s="15">
        <f t="shared" si="1175"/>
        <v>1.763664757938574</v>
      </c>
      <c r="O268" s="15">
        <f t="shared" si="1175"/>
        <v>1.7578084331077568</v>
      </c>
      <c r="P268" s="15">
        <f t="shared" si="1175"/>
        <v>1.785137948984904</v>
      </c>
      <c r="Q268" s="15">
        <f t="shared" si="1175"/>
        <v>1.763664757938574</v>
      </c>
      <c r="R268" s="15">
        <f t="shared" si="1175"/>
        <v>1.7578084331077568</v>
      </c>
      <c r="S268" s="15">
        <f t="shared" si="1175"/>
        <v>1.785137948984904</v>
      </c>
      <c r="T268" s="20">
        <f t="shared" si="1033"/>
        <v>1.7688703800104115</v>
      </c>
      <c r="U268" s="40">
        <f t="shared" si="1034"/>
        <v>1.2870104440474803E-2</v>
      </c>
      <c r="V268" s="109"/>
      <c r="W268" s="110">
        <v>70</v>
      </c>
      <c r="X268" s="20">
        <f>IFERROR(($N$16-N268)/W268,"")</f>
        <v>-3.4859076373912372E-4</v>
      </c>
      <c r="Y268" s="15">
        <f>IFERROR(($O$16-O268)/W268,"")</f>
        <v>2.7887261099130661E-5</v>
      </c>
      <c r="Z268" s="15">
        <f>IFERROR(($P$16-P268)/W268,"")</f>
        <v>1.3943630549568502E-5</v>
      </c>
      <c r="AA268" s="15">
        <f>IFERROR(($Q$16-Q268)/W268,"")</f>
        <v>-3.4859076373912372E-4</v>
      </c>
      <c r="AB268" s="15">
        <f>IFERROR(($R$16-R268)/W268,"")</f>
        <v>2.7887261099130661E-5</v>
      </c>
      <c r="AC268" s="15">
        <f>IFERROR(($S$16-S268)/W268,"")</f>
        <v>1.3943630549568502E-5</v>
      </c>
      <c r="AD268" s="20">
        <f>IFERROR(AVERAGE(X268:AC268), "")</f>
        <v>-1.022532906968082E-4</v>
      </c>
      <c r="AE268" s="40">
        <f t="shared" ref="AE268:AE273" si="1187">IFERROR(STDEV(X268:AC268), "")</f>
        <v>1.9091405223687607E-4</v>
      </c>
      <c r="AG268" s="229"/>
      <c r="AH268" s="77">
        <f>'Sample ID'!$F$8</f>
        <v>1</v>
      </c>
      <c r="AI268" s="77">
        <f>IFERROR((X268*$AH$34),"")</f>
        <v>-3.4859076373912372E-4</v>
      </c>
      <c r="AJ268" s="77">
        <f t="shared" ref="AJ268" si="1188">IFERROR((Y268*$AH$34),"")</f>
        <v>2.7887261099130661E-5</v>
      </c>
      <c r="AK268" s="77">
        <f t="shared" ref="AK268" si="1189">IFERROR((Z268*$AH$34),"")</f>
        <v>1.3943630549568502E-5</v>
      </c>
      <c r="AL268" s="77">
        <f t="shared" ref="AL268" si="1190">IFERROR((AA268*$AH$34),"")</f>
        <v>-3.4859076373912372E-4</v>
      </c>
      <c r="AM268" s="77">
        <f t="shared" ref="AM268" si="1191">IFERROR((AB268*$AH$34),"")</f>
        <v>2.7887261099130661E-5</v>
      </c>
      <c r="AN268" s="77">
        <f t="shared" ref="AN268" si="1192">IFERROR((AC268*$AH$34),"")</f>
        <v>1.3943630549568502E-5</v>
      </c>
      <c r="AO268" s="40">
        <f t="shared" si="1186"/>
        <v>-1.022532906968082E-4</v>
      </c>
      <c r="AP268" s="40">
        <f t="shared" ref="AP268:AP273" si="1193">IFERROR(STDEV(AI268:AN268), "")</f>
        <v>1.9091405223687607E-4</v>
      </c>
      <c r="AQ268" s="15"/>
      <c r="AR268" s="15"/>
    </row>
    <row r="269" spans="3:44">
      <c r="C269" s="232"/>
      <c r="D269" s="21" t="s">
        <v>19</v>
      </c>
      <c r="E269" s="22">
        <f>Data!B186</f>
        <v>2.262</v>
      </c>
      <c r="F269" s="22">
        <f>Data!C186</f>
        <v>2.2759999999999998</v>
      </c>
      <c r="G269" s="22">
        <f>Data!D186</f>
        <v>2.2770000000000001</v>
      </c>
      <c r="H269" s="22">
        <f>Data!E186</f>
        <v>2.262</v>
      </c>
      <c r="I269" s="22">
        <f>Data!F186</f>
        <v>2.2759999999999998</v>
      </c>
      <c r="J269" s="22">
        <f>Data!G186</f>
        <v>2.2770000000000001</v>
      </c>
      <c r="K269" s="22"/>
      <c r="L269" s="232"/>
      <c r="M269" s="130" t="s">
        <v>19</v>
      </c>
      <c r="N269" s="15">
        <f t="shared" si="1175"/>
        <v>2.0154867256637172</v>
      </c>
      <c r="O269" s="15">
        <f t="shared" si="1175"/>
        <v>2.0291514836022908</v>
      </c>
      <c r="P269" s="15">
        <f t="shared" si="1175"/>
        <v>2.0301275377407606</v>
      </c>
      <c r="Q269" s="15">
        <f t="shared" si="1175"/>
        <v>2.0154867256637172</v>
      </c>
      <c r="R269" s="15">
        <f t="shared" si="1175"/>
        <v>2.0291514836022908</v>
      </c>
      <c r="S269" s="15">
        <f t="shared" si="1175"/>
        <v>2.0301275377407606</v>
      </c>
      <c r="T269" s="20">
        <f t="shared" si="1033"/>
        <v>2.0249219156689229</v>
      </c>
      <c r="U269" s="40">
        <f t="shared" si="1034"/>
        <v>7.3214904627981574E-3</v>
      </c>
      <c r="V269" s="109"/>
      <c r="W269" s="110">
        <v>70</v>
      </c>
      <c r="X269" s="20">
        <f>IFERROR(($N$17-N269)/W269,"")</f>
        <v>-2.9560496765077739E-3</v>
      </c>
      <c r="Y269" s="15">
        <f>IFERROR(($O$17-O269)/W269,"")</f>
        <v>-3.1930913958503719E-3</v>
      </c>
      <c r="Z269" s="15">
        <f>IFERROR(($P$17-P269)/W269,"")</f>
        <v>-3.0954859820034207E-3</v>
      </c>
      <c r="AA269" s="15">
        <f>IFERROR(($Q$17-Q269)/W269,"")</f>
        <v>-2.9560496765077739E-3</v>
      </c>
      <c r="AB269" s="15">
        <f>IFERROR(($R$17-R269)/W269,"")</f>
        <v>-3.1930913958503719E-3</v>
      </c>
      <c r="AC269" s="15">
        <f>IFERROR(($S$17-S269)/W269,"")</f>
        <v>-3.0954859820034207E-3</v>
      </c>
      <c r="AD269" s="20">
        <f t="shared" ref="AD269:AD273" si="1194">IFERROR(AVERAGE(X269:AC269), "")</f>
        <v>-3.0815423514538552E-3</v>
      </c>
      <c r="AE269" s="40">
        <f t="shared" si="1187"/>
        <v>1.065570750420668E-4</v>
      </c>
      <c r="AG269" s="229"/>
      <c r="AH269" s="77">
        <f>'Sample ID'!$F$9</f>
        <v>1</v>
      </c>
      <c r="AI269" s="77">
        <f>IFERROR((X269*$AH$35),"")</f>
        <v>-2.9560496765077739E-3</v>
      </c>
      <c r="AJ269" s="77">
        <f t="shared" ref="AJ269" si="1195">IFERROR((Y269*$AH$35),"")</f>
        <v>-3.1930913958503719E-3</v>
      </c>
      <c r="AK269" s="77">
        <f t="shared" ref="AK269" si="1196">IFERROR((Z269*$AH$35),"")</f>
        <v>-3.0954859820034207E-3</v>
      </c>
      <c r="AL269" s="77">
        <f t="shared" ref="AL269" si="1197">IFERROR((AA269*$AH$35),"")</f>
        <v>-2.9560496765077739E-3</v>
      </c>
      <c r="AM269" s="77">
        <f t="shared" ref="AM269" si="1198">IFERROR((AB269*$AH$35),"")</f>
        <v>-3.1930913958503719E-3</v>
      </c>
      <c r="AN269" s="77">
        <f t="shared" ref="AN269" si="1199">IFERROR((AC269*$AH$35),"")</f>
        <v>-3.0954859820034207E-3</v>
      </c>
      <c r="AO269" s="40">
        <f t="shared" si="1186"/>
        <v>-3.0815423514538552E-3</v>
      </c>
      <c r="AP269" s="40">
        <f t="shared" si="1193"/>
        <v>1.065570750420668E-4</v>
      </c>
      <c r="AQ269" s="15"/>
      <c r="AR269" s="15"/>
    </row>
    <row r="270" spans="3:44">
      <c r="C270" s="232"/>
      <c r="D270" s="21" t="s">
        <v>20</v>
      </c>
      <c r="E270" s="22">
        <f>Data!B187</f>
        <v>2.117</v>
      </c>
      <c r="F270" s="22">
        <f>Data!C187</f>
        <v>2.2040000000000002</v>
      </c>
      <c r="G270" s="22">
        <f>Data!D187</f>
        <v>2.1949999999999998</v>
      </c>
      <c r="H270" s="22">
        <f>Data!E187</f>
        <v>2.117</v>
      </c>
      <c r="I270" s="22">
        <f>Data!F187</f>
        <v>2.2040000000000002</v>
      </c>
      <c r="J270" s="22">
        <f>Data!G187</f>
        <v>2.1949999999999998</v>
      </c>
      <c r="K270" s="22"/>
      <c r="L270" s="232"/>
      <c r="M270" s="130" t="s">
        <v>20</v>
      </c>
      <c r="N270" s="15">
        <f t="shared" si="1175"/>
        <v>1.8739588755856329</v>
      </c>
      <c r="O270" s="15">
        <f t="shared" si="1175"/>
        <v>1.9588755856324838</v>
      </c>
      <c r="P270" s="15">
        <f t="shared" si="1175"/>
        <v>1.9500910983862574</v>
      </c>
      <c r="Q270" s="15">
        <f t="shared" si="1175"/>
        <v>1.8739588755856329</v>
      </c>
      <c r="R270" s="15">
        <f t="shared" si="1175"/>
        <v>1.9588755856324838</v>
      </c>
      <c r="S270" s="15">
        <f t="shared" si="1175"/>
        <v>1.9500910983862574</v>
      </c>
      <c r="T270" s="20">
        <f t="shared" si="1033"/>
        <v>1.9276418532014581</v>
      </c>
      <c r="U270" s="40">
        <f t="shared" si="1034"/>
        <v>4.1767818887949254E-2</v>
      </c>
      <c r="V270" s="109"/>
      <c r="W270" s="110">
        <v>70</v>
      </c>
      <c r="X270" s="20">
        <f>IFERROR(($N$18-N270)/W270,"")</f>
        <v>-3.6253439428868592E-4</v>
      </c>
      <c r="Y270" s="15">
        <f>IFERROR(($O$18-O270)/W270,"")</f>
        <v>-1.9102773852903996E-3</v>
      </c>
      <c r="Z270" s="15">
        <f>IFERROR(($P$18-P270)/W270,"")</f>
        <v>-1.4780248382538837E-3</v>
      </c>
      <c r="AA270" s="15">
        <f>IFERROR(($Q$18-Q270)/W270,"")</f>
        <v>-3.6253439428868592E-4</v>
      </c>
      <c r="AB270" s="15">
        <f>IFERROR(($R$18-R270)/W270,"")</f>
        <v>-1.9102773852903996E-3</v>
      </c>
      <c r="AC270" s="15">
        <f>IFERROR(($S$18-S270)/W270,"")</f>
        <v>-1.4780248382538837E-3</v>
      </c>
      <c r="AD270" s="20">
        <f t="shared" si="1194"/>
        <v>-1.2502788726109898E-3</v>
      </c>
      <c r="AE270" s="40">
        <f t="shared" si="1187"/>
        <v>7.1429868273639881E-4</v>
      </c>
      <c r="AG270" s="229"/>
      <c r="AH270" s="77">
        <f>'Sample ID'!$F$10</f>
        <v>1</v>
      </c>
      <c r="AI270" s="77">
        <f>IFERROR((X270*$AH$36),"")</f>
        <v>-3.6253439428868592E-4</v>
      </c>
      <c r="AJ270" s="77">
        <f t="shared" ref="AJ270" si="1200">IFERROR((Y270*$AH$36),"")</f>
        <v>-1.9102773852903996E-3</v>
      </c>
      <c r="AK270" s="77">
        <f t="shared" ref="AK270" si="1201">IFERROR((Z270*$AH$36),"")</f>
        <v>-1.4780248382538837E-3</v>
      </c>
      <c r="AL270" s="77">
        <f t="shared" ref="AL270" si="1202">IFERROR((AA270*$AH$36),"")</f>
        <v>-3.6253439428868592E-4</v>
      </c>
      <c r="AM270" s="77">
        <f t="shared" ref="AM270" si="1203">IFERROR((AB270*$AH$36),"")</f>
        <v>-1.9102773852903996E-3</v>
      </c>
      <c r="AN270" s="77">
        <f t="shared" ref="AN270" si="1204">IFERROR((AC270*$AH$36),"")</f>
        <v>-1.4780248382538837E-3</v>
      </c>
      <c r="AO270" s="40">
        <f t="shared" si="1186"/>
        <v>-1.2502788726109898E-3</v>
      </c>
      <c r="AP270" s="40">
        <f t="shared" si="1193"/>
        <v>7.1429868273639881E-4</v>
      </c>
      <c r="AQ270" s="15"/>
      <c r="AR270" s="15"/>
    </row>
    <row r="271" spans="3:44">
      <c r="C271" s="232"/>
      <c r="D271" s="21" t="s">
        <v>21</v>
      </c>
      <c r="E271" s="22">
        <f>Data!B188</f>
        <v>1.0469999999999999</v>
      </c>
      <c r="F271" s="22">
        <f>Data!C188</f>
        <v>1.137</v>
      </c>
      <c r="G271" s="22">
        <f>Data!D188</f>
        <v>1.022</v>
      </c>
      <c r="H271" s="22">
        <f>Data!E188</f>
        <v>1.0469999999999999</v>
      </c>
      <c r="I271" s="22">
        <f>Data!F188</f>
        <v>1.137</v>
      </c>
      <c r="J271" s="22">
        <f>Data!G188</f>
        <v>1.022</v>
      </c>
      <c r="K271" s="22"/>
      <c r="L271" s="232"/>
      <c r="M271" s="130" t="s">
        <v>21</v>
      </c>
      <c r="N271" s="15">
        <f t="shared" si="1175"/>
        <v>0.8295809474232172</v>
      </c>
      <c r="O271" s="15">
        <f t="shared" si="1175"/>
        <v>0.91742581988547656</v>
      </c>
      <c r="P271" s="15">
        <f t="shared" si="1175"/>
        <v>0.80517959396147853</v>
      </c>
      <c r="Q271" s="15">
        <f t="shared" si="1175"/>
        <v>0.8295809474232172</v>
      </c>
      <c r="R271" s="15">
        <f t="shared" si="1175"/>
        <v>0.91742581988547656</v>
      </c>
      <c r="S271" s="15">
        <f t="shared" si="1175"/>
        <v>0.80517959396147853</v>
      </c>
      <c r="T271" s="20">
        <f t="shared" si="1033"/>
        <v>0.85072878709005728</v>
      </c>
      <c r="U271" s="40">
        <f t="shared" si="1034"/>
        <v>5.2803235889298208E-2</v>
      </c>
      <c r="V271" s="109"/>
      <c r="W271" s="110">
        <v>70</v>
      </c>
      <c r="X271" s="20">
        <f>IFERROR(($N$19-N271)/W271,"")</f>
        <v>1.185208596713022E-2</v>
      </c>
      <c r="Y271" s="15">
        <f>IFERROR(($O$19-O271)/W271,"")</f>
        <v>1.1113073548003274E-2</v>
      </c>
      <c r="Z271" s="15">
        <f>IFERROR(($P$19-P271)/W271,"")</f>
        <v>1.2172789469770212E-2</v>
      </c>
      <c r="AA271" s="15">
        <f>IFERROR(($Q$19-Q271)/W271,"")</f>
        <v>1.185208596713022E-2</v>
      </c>
      <c r="AB271" s="15">
        <f>IFERROR(($R$19-R271)/W271,"")</f>
        <v>1.1113073548003274E-2</v>
      </c>
      <c r="AC271" s="15">
        <f>IFERROR(($S$19-S271)/W271,"")</f>
        <v>1.2172789469770212E-2</v>
      </c>
      <c r="AD271" s="20">
        <f t="shared" si="1194"/>
        <v>1.1712649661634567E-2</v>
      </c>
      <c r="AE271" s="40">
        <f t="shared" si="1187"/>
        <v>4.8607104104589094E-4</v>
      </c>
      <c r="AG271" s="229"/>
      <c r="AH271" s="77">
        <f>'Sample ID'!$F$11</f>
        <v>0</v>
      </c>
      <c r="AI271" s="77">
        <f>IFERROR((X271*$AH$37),"")</f>
        <v>0</v>
      </c>
      <c r="AJ271" s="77">
        <f t="shared" ref="AJ271" si="1205">IFERROR((Y271*$AH$37),"")</f>
        <v>0</v>
      </c>
      <c r="AK271" s="77">
        <f t="shared" ref="AK271" si="1206">IFERROR((Z271*$AH$37),"")</f>
        <v>0</v>
      </c>
      <c r="AL271" s="77">
        <f t="shared" ref="AL271" si="1207">IFERROR((AA271*$AH$37),"")</f>
        <v>0</v>
      </c>
      <c r="AM271" s="77">
        <f t="shared" ref="AM271" si="1208">IFERROR((AB271*$AH$37),"")</f>
        <v>0</v>
      </c>
      <c r="AN271" s="77">
        <f t="shared" ref="AN271" si="1209">IFERROR((AC271*$AH$37),"")</f>
        <v>0</v>
      </c>
      <c r="AO271" s="40">
        <f t="shared" si="1186"/>
        <v>0</v>
      </c>
      <c r="AP271" s="40">
        <f t="shared" si="1193"/>
        <v>0</v>
      </c>
      <c r="AQ271" s="15"/>
      <c r="AR271" s="15"/>
    </row>
    <row r="272" spans="3:44">
      <c r="C272" s="232"/>
      <c r="D272" s="21" t="s">
        <v>22</v>
      </c>
      <c r="E272" s="22">
        <f>Data!B189</f>
        <v>1.597</v>
      </c>
      <c r="F272" s="22">
        <f>Data!C189</f>
        <v>1.6040000000000001</v>
      </c>
      <c r="G272" s="22">
        <f>Data!D189</f>
        <v>1.6060000000000001</v>
      </c>
      <c r="H272" s="22">
        <f>Data!E189</f>
        <v>1.597</v>
      </c>
      <c r="I272" s="22">
        <f>Data!F189</f>
        <v>1.6040000000000001</v>
      </c>
      <c r="J272" s="22">
        <f>Data!G189</f>
        <v>1.6060000000000001</v>
      </c>
      <c r="K272" s="22"/>
      <c r="L272" s="232"/>
      <c r="M272" s="130" t="s">
        <v>22</v>
      </c>
      <c r="N272" s="15">
        <f t="shared" si="1175"/>
        <v>1.3664107235814682</v>
      </c>
      <c r="O272" s="15">
        <f t="shared" si="1175"/>
        <v>1.3732431025507552</v>
      </c>
      <c r="P272" s="15">
        <f t="shared" si="1175"/>
        <v>1.3751952108276944</v>
      </c>
      <c r="Q272" s="15">
        <f t="shared" si="1175"/>
        <v>1.3664107235814682</v>
      </c>
      <c r="R272" s="15">
        <f t="shared" si="1175"/>
        <v>1.3732431025507552</v>
      </c>
      <c r="S272" s="15">
        <f t="shared" si="1175"/>
        <v>1.3751952108276944</v>
      </c>
      <c r="T272" s="20">
        <f t="shared" si="1033"/>
        <v>1.3716163456533057</v>
      </c>
      <c r="U272" s="40">
        <f t="shared" si="1034"/>
        <v>4.1256812816626185E-3</v>
      </c>
      <c r="V272" s="109"/>
      <c r="W272" s="110">
        <v>70</v>
      </c>
      <c r="X272" s="20">
        <f>IFERROR(($N$20-N272)/W272,"")</f>
        <v>4.3225254703651416E-3</v>
      </c>
      <c r="Y272" s="15">
        <f>IFERROR(($O$20-O272)/W272,"")</f>
        <v>4.155201903770357E-3</v>
      </c>
      <c r="Z272" s="15">
        <f>IFERROR(($P$20-P272)/W272,"")</f>
        <v>4.2946382092660046E-3</v>
      </c>
      <c r="AA272" s="15">
        <f>IFERROR(($Q$20-Q272)/W272,"")</f>
        <v>4.3225254703651416E-3</v>
      </c>
      <c r="AB272" s="15">
        <f>IFERROR(($R$20-R272)/W272,"")</f>
        <v>4.155201903770357E-3</v>
      </c>
      <c r="AC272" s="15">
        <f>IFERROR(($S$20-S272)/W272,"")</f>
        <v>4.2946382092660046E-3</v>
      </c>
      <c r="AD272" s="20">
        <f t="shared" si="1194"/>
        <v>4.2574551944671675E-3</v>
      </c>
      <c r="AE272" s="40">
        <f t="shared" si="1187"/>
        <v>8.0180927540894509E-5</v>
      </c>
      <c r="AG272" s="229"/>
      <c r="AH272" s="77">
        <f>'Sample ID'!$F$12</f>
        <v>0</v>
      </c>
      <c r="AI272" s="77">
        <f>IFERROR((X272*$AH$38),"")</f>
        <v>0</v>
      </c>
      <c r="AJ272" s="77">
        <f t="shared" ref="AJ272" si="1210">IFERROR((Y272*$AH$38),"")</f>
        <v>0</v>
      </c>
      <c r="AK272" s="77">
        <f t="shared" ref="AK272" si="1211">IFERROR((Z272*$AH$38),"")</f>
        <v>0</v>
      </c>
      <c r="AL272" s="77">
        <f t="shared" ref="AL272" si="1212">IFERROR((AA272*$AH$38),"")</f>
        <v>0</v>
      </c>
      <c r="AM272" s="77">
        <f t="shared" ref="AM272" si="1213">IFERROR((AB272*$AH$38),"")</f>
        <v>0</v>
      </c>
      <c r="AN272" s="77">
        <f t="shared" ref="AN272" si="1214">IFERROR((AC272*$AH$38),"")</f>
        <v>0</v>
      </c>
      <c r="AO272" s="40">
        <f t="shared" si="1186"/>
        <v>0</v>
      </c>
      <c r="AP272" s="40">
        <f t="shared" si="1193"/>
        <v>0</v>
      </c>
      <c r="AQ272" s="15"/>
      <c r="AR272" s="15"/>
    </row>
    <row r="273" spans="3:44">
      <c r="C273" s="232"/>
      <c r="D273" s="21" t="s">
        <v>23</v>
      </c>
      <c r="E273" s="22">
        <f>Data!B190</f>
        <v>0</v>
      </c>
      <c r="F273" s="22">
        <f>Data!C190</f>
        <v>0</v>
      </c>
      <c r="G273" s="22">
        <f>Data!D190</f>
        <v>0</v>
      </c>
      <c r="H273" s="22">
        <f>Data!E190</f>
        <v>0</v>
      </c>
      <c r="I273" s="22">
        <f>Data!F190</f>
        <v>0</v>
      </c>
      <c r="J273" s="22">
        <f>Data!G190</f>
        <v>0</v>
      </c>
      <c r="K273" s="22"/>
      <c r="L273" s="232"/>
      <c r="M273" s="130" t="s">
        <v>23</v>
      </c>
      <c r="N273" s="15" t="str">
        <f t="shared" si="1175"/>
        <v xml:space="preserve"> </v>
      </c>
      <c r="O273" s="15" t="str">
        <f t="shared" si="1175"/>
        <v xml:space="preserve"> </v>
      </c>
      <c r="P273" s="15" t="str">
        <f t="shared" si="1175"/>
        <v xml:space="preserve"> </v>
      </c>
      <c r="Q273" s="15" t="str">
        <f t="shared" si="1175"/>
        <v xml:space="preserve"> </v>
      </c>
      <c r="R273" s="15" t="str">
        <f t="shared" si="1175"/>
        <v xml:space="preserve"> </v>
      </c>
      <c r="S273" s="15" t="str">
        <f t="shared" si="1175"/>
        <v xml:space="preserve"> </v>
      </c>
      <c r="T273" s="20" t="str">
        <f t="shared" si="1033"/>
        <v/>
      </c>
      <c r="U273" s="40" t="str">
        <f t="shared" si="1034"/>
        <v/>
      </c>
      <c r="V273" s="109"/>
      <c r="W273" s="110">
        <v>70</v>
      </c>
      <c r="X273" s="20" t="str">
        <f>IFERROR(($N$21-N273)/W273,"")</f>
        <v/>
      </c>
      <c r="Y273" s="15" t="str">
        <f>IFERROR(($O$21-O273)/W273,"")</f>
        <v/>
      </c>
      <c r="Z273" s="15" t="str">
        <f>IFERROR(($P$21-P273)/W273,"")</f>
        <v/>
      </c>
      <c r="AA273" s="15" t="str">
        <f>IFERROR(($Q$21-Q273)/W273,"")</f>
        <v/>
      </c>
      <c r="AB273" s="15" t="str">
        <f>IFERROR(($R$21-R273)/W273,"")</f>
        <v/>
      </c>
      <c r="AC273" s="15" t="str">
        <f>IFERROR(($S$21-S273)/W273,"")</f>
        <v/>
      </c>
      <c r="AD273" s="20" t="str">
        <f t="shared" si="1194"/>
        <v/>
      </c>
      <c r="AE273" s="40" t="str">
        <f t="shared" si="1187"/>
        <v/>
      </c>
      <c r="AG273" s="229"/>
      <c r="AH273" s="77">
        <f>'Sample ID'!$F$13</f>
        <v>0</v>
      </c>
      <c r="AI273" s="77" t="str">
        <f>IFERROR((X273*$AH$39),"")</f>
        <v/>
      </c>
      <c r="AJ273" s="77" t="str">
        <f t="shared" ref="AJ273" si="1215">IFERROR((Y273*$AH$39),"")</f>
        <v/>
      </c>
      <c r="AK273" s="77" t="str">
        <f t="shared" ref="AK273" si="1216">IFERROR((Z273*$AH$39),"")</f>
        <v/>
      </c>
      <c r="AL273" s="77" t="str">
        <f t="shared" ref="AL273" si="1217">IFERROR((AA273*$AH$39),"")</f>
        <v/>
      </c>
      <c r="AM273" s="77" t="str">
        <f t="shared" ref="AM273" si="1218">IFERROR((AB273*$AH$39),"")</f>
        <v/>
      </c>
      <c r="AN273" s="77" t="str">
        <f t="shared" ref="AN273" si="1219">IFERROR((AC273*$AH$39),"")</f>
        <v/>
      </c>
      <c r="AO273" s="40" t="str">
        <f t="shared" si="1186"/>
        <v/>
      </c>
      <c r="AP273" s="40" t="str">
        <f t="shared" si="1193"/>
        <v/>
      </c>
      <c r="AQ273" s="15"/>
      <c r="AR273" s="15"/>
    </row>
    <row r="274" spans="3:44">
      <c r="C274" s="232"/>
      <c r="D274" s="39"/>
      <c r="E274" s="56">
        <v>7</v>
      </c>
      <c r="F274" s="56">
        <v>8</v>
      </c>
      <c r="G274" s="57">
        <v>9</v>
      </c>
      <c r="H274" s="56">
        <v>10</v>
      </c>
      <c r="I274" s="56">
        <v>11</v>
      </c>
      <c r="J274" s="57">
        <v>12</v>
      </c>
      <c r="K274" s="27"/>
      <c r="L274" s="232"/>
      <c r="M274" s="38"/>
      <c r="N274" s="59">
        <v>7</v>
      </c>
      <c r="O274" s="38">
        <v>8</v>
      </c>
      <c r="P274" s="38">
        <v>9</v>
      </c>
      <c r="Q274" s="38">
        <v>10</v>
      </c>
      <c r="R274" s="38">
        <v>11</v>
      </c>
      <c r="S274" s="50">
        <v>12</v>
      </c>
      <c r="T274" s="38" t="s">
        <v>24</v>
      </c>
      <c r="U274" s="51" t="s">
        <v>3</v>
      </c>
      <c r="V274" s="109"/>
      <c r="W274" s="98"/>
      <c r="X274" s="38">
        <v>7</v>
      </c>
      <c r="Y274" s="38">
        <v>8</v>
      </c>
      <c r="Z274" s="38">
        <v>9</v>
      </c>
      <c r="AA274" s="38">
        <v>10</v>
      </c>
      <c r="AB274" s="38">
        <v>11</v>
      </c>
      <c r="AC274" s="50">
        <v>12</v>
      </c>
      <c r="AD274" s="50" t="s">
        <v>49</v>
      </c>
      <c r="AE274" s="51" t="s">
        <v>3</v>
      </c>
      <c r="AG274" s="229"/>
      <c r="AH274" s="119"/>
      <c r="AI274" s="119"/>
      <c r="AJ274" s="119"/>
      <c r="AK274" s="119"/>
      <c r="AL274" s="119"/>
      <c r="AM274" s="119"/>
      <c r="AN274" s="119"/>
      <c r="AO274" s="100" t="str">
        <f>IFERROR(#REF!/(#REF!/W274), " ")</f>
        <v xml:space="preserve"> </v>
      </c>
      <c r="AP274" s="51" t="s">
        <v>3</v>
      </c>
      <c r="AQ274" s="15"/>
      <c r="AR274" s="15"/>
    </row>
    <row r="275" spans="3:44">
      <c r="C275" s="232"/>
      <c r="D275" s="21" t="s">
        <v>16</v>
      </c>
      <c r="E275" s="22">
        <f>Data!H183</f>
        <v>0</v>
      </c>
      <c r="F275" s="22">
        <f>Data!I183</f>
        <v>0</v>
      </c>
      <c r="G275" s="22">
        <f>Data!J183</f>
        <v>0</v>
      </c>
      <c r="H275" s="22">
        <f>Data!K183</f>
        <v>0</v>
      </c>
      <c r="I275" s="22">
        <f>Data!L183</f>
        <v>0</v>
      </c>
      <c r="J275" s="22">
        <f>Data!M183</f>
        <v>0</v>
      </c>
      <c r="K275" s="22"/>
      <c r="L275" s="232"/>
      <c r="M275" s="130" t="s">
        <v>16</v>
      </c>
      <c r="N275" s="15" t="str">
        <f t="shared" ref="N275:S282" si="1220">IF(((E275-$P$11)/$P$10)&gt;0,((E275-$P$11)/$P$10)," ")</f>
        <v xml:space="preserve"> </v>
      </c>
      <c r="O275" s="15" t="str">
        <f t="shared" si="1220"/>
        <v xml:space="preserve"> </v>
      </c>
      <c r="P275" s="15" t="str">
        <f t="shared" si="1220"/>
        <v xml:space="preserve"> </v>
      </c>
      <c r="Q275" s="15" t="str">
        <f t="shared" si="1220"/>
        <v xml:space="preserve"> </v>
      </c>
      <c r="R275" s="15" t="str">
        <f t="shared" si="1220"/>
        <v xml:space="preserve"> </v>
      </c>
      <c r="S275" s="15" t="str">
        <f t="shared" si="1220"/>
        <v xml:space="preserve"> </v>
      </c>
      <c r="T275" s="20" t="str">
        <f t="shared" ref="T275:T303" si="1221">IFERROR(AVERAGE(N275:S275),"")</f>
        <v/>
      </c>
      <c r="U275" s="40" t="str">
        <f t="shared" ref="U275:U303" si="1222">IFERROR(STDEV(N275:S275),"")</f>
        <v/>
      </c>
      <c r="V275" s="109"/>
      <c r="W275" s="110">
        <v>70</v>
      </c>
      <c r="X275" s="20" t="str">
        <f>IFERROR(($N$23-N275)/W275,"")</f>
        <v/>
      </c>
      <c r="Y275" s="15" t="str">
        <f>IFERROR(($O$23-O275)/W275,"")</f>
        <v/>
      </c>
      <c r="Z275" s="15" t="str">
        <f>IFERROR(($P$23-P275)/W275,"")</f>
        <v/>
      </c>
      <c r="AA275" s="15" t="str">
        <f>IFERROR(($Q$23-Q275)/W275,"")</f>
        <v/>
      </c>
      <c r="AB275" s="15" t="str">
        <f>IFERROR(($R$23-R275)/W275,"")</f>
        <v/>
      </c>
      <c r="AC275" s="15" t="str">
        <f>IFERROR(($S$23-S275)/W275,"")</f>
        <v/>
      </c>
      <c r="AD275" s="20" t="str">
        <f t="shared" ref="AD275:AD276" si="1223">IFERROR(AVERAGE(X275:AC275), "")</f>
        <v/>
      </c>
      <c r="AE275" s="40" t="str">
        <f t="shared" ref="AE275:AE276" si="1224">IFERROR(STDEV(X275:AC275), "")</f>
        <v/>
      </c>
      <c r="AG275" s="229"/>
      <c r="AH275" s="77">
        <f>'Sample ID'!$F$14</f>
        <v>0</v>
      </c>
      <c r="AI275" s="77" t="str">
        <f>IFERROR((X275*$AH$41),"")</f>
        <v/>
      </c>
      <c r="AJ275" s="77" t="str">
        <f t="shared" ref="AJ275" si="1225">IFERROR((Y275*$AH$41),"")</f>
        <v/>
      </c>
      <c r="AK275" s="77" t="str">
        <f t="shared" ref="AK275" si="1226">IFERROR((Z275*$AH$41),"")</f>
        <v/>
      </c>
      <c r="AL275" s="77" t="str">
        <f t="shared" ref="AL275" si="1227">IFERROR((AA275*$AH$41),"")</f>
        <v/>
      </c>
      <c r="AM275" s="77" t="str">
        <f t="shared" ref="AM275" si="1228">IFERROR((AB275*$AH$41),"")</f>
        <v/>
      </c>
      <c r="AN275" s="77" t="str">
        <f t="shared" ref="AN275" si="1229">IFERROR((AC275*$AH$41),"")</f>
        <v/>
      </c>
      <c r="AO275" s="40" t="str">
        <f>IFERROR(AVERAGE(AI275:AN275),"")</f>
        <v/>
      </c>
      <c r="AP275" s="40" t="str">
        <f t="shared" ref="AP275:AP276" si="1230">IFERROR(STDEV(AI275:AN275), "")</f>
        <v/>
      </c>
      <c r="AQ275" s="15"/>
      <c r="AR275" s="15"/>
    </row>
    <row r="276" spans="3:44">
      <c r="C276" s="232"/>
      <c r="D276" s="21" t="s">
        <v>17</v>
      </c>
      <c r="E276" s="22">
        <f>Data!H184</f>
        <v>0</v>
      </c>
      <c r="F276" s="22">
        <f>Data!I184</f>
        <v>0</v>
      </c>
      <c r="G276" s="22">
        <f>Data!J184</f>
        <v>0</v>
      </c>
      <c r="H276" s="22">
        <f>Data!K184</f>
        <v>0</v>
      </c>
      <c r="I276" s="22">
        <f>Data!L184</f>
        <v>0</v>
      </c>
      <c r="J276" s="22">
        <f>Data!M184</f>
        <v>0</v>
      </c>
      <c r="K276" s="22"/>
      <c r="L276" s="232"/>
      <c r="M276" s="130" t="s">
        <v>17</v>
      </c>
      <c r="N276" s="15" t="str">
        <f t="shared" si="1220"/>
        <v xml:space="preserve"> </v>
      </c>
      <c r="O276" s="15" t="str">
        <f t="shared" si="1220"/>
        <v xml:space="preserve"> </v>
      </c>
      <c r="P276" s="15" t="str">
        <f t="shared" si="1220"/>
        <v xml:space="preserve"> </v>
      </c>
      <c r="Q276" s="15" t="str">
        <f t="shared" si="1220"/>
        <v xml:space="preserve"> </v>
      </c>
      <c r="R276" s="15" t="str">
        <f t="shared" si="1220"/>
        <v xml:space="preserve"> </v>
      </c>
      <c r="S276" s="15" t="str">
        <f t="shared" si="1220"/>
        <v xml:space="preserve"> </v>
      </c>
      <c r="T276" s="20" t="str">
        <f t="shared" si="1221"/>
        <v/>
      </c>
      <c r="U276" s="40" t="str">
        <f t="shared" si="1222"/>
        <v/>
      </c>
      <c r="V276" s="109"/>
      <c r="W276" s="110">
        <v>70</v>
      </c>
      <c r="X276" s="20" t="str">
        <f>IFERROR(($N$24-N276)/W276,"")</f>
        <v/>
      </c>
      <c r="Y276" s="15" t="str">
        <f>IFERROR(($O$24-O276)/W276,"")</f>
        <v/>
      </c>
      <c r="Z276" s="15" t="str">
        <f>IFERROR(($P$24-P276)/W276,"")</f>
        <v/>
      </c>
      <c r="AA276" s="15" t="str">
        <f>IFERROR(($Q$24-Q276)/W276,"")</f>
        <v/>
      </c>
      <c r="AB276" s="15" t="str">
        <f>IFERROR(($R$24-R276)/W276,"")</f>
        <v/>
      </c>
      <c r="AC276" s="15" t="str">
        <f>IFERROR(($S$24-S276)/W276,"")</f>
        <v/>
      </c>
      <c r="AD276" s="20" t="str">
        <f t="shared" si="1223"/>
        <v/>
      </c>
      <c r="AE276" s="40" t="str">
        <f t="shared" si="1224"/>
        <v/>
      </c>
      <c r="AG276" s="229"/>
      <c r="AH276" s="77">
        <f>'Sample ID'!$F$15</f>
        <v>0</v>
      </c>
      <c r="AI276" s="77" t="str">
        <f>IFERROR((X276*$AH$42),"")</f>
        <v/>
      </c>
      <c r="AJ276" s="77" t="str">
        <f t="shared" ref="AJ276" si="1231">IFERROR((Y276*$AH$42),"")</f>
        <v/>
      </c>
      <c r="AK276" s="77" t="str">
        <f t="shared" ref="AK276" si="1232">IFERROR((Z276*$AH$42),"")</f>
        <v/>
      </c>
      <c r="AL276" s="77" t="str">
        <f t="shared" ref="AL276" si="1233">IFERROR((AA276*$AH$42),"")</f>
        <v/>
      </c>
      <c r="AM276" s="77" t="str">
        <f t="shared" ref="AM276" si="1234">IFERROR((AB276*$AH$42),"")</f>
        <v/>
      </c>
      <c r="AN276" s="77" t="str">
        <f t="shared" ref="AN276" si="1235">IFERROR((AC276*$AH$42),"")</f>
        <v/>
      </c>
      <c r="AO276" s="40" t="str">
        <f t="shared" ref="AO276:AO282" si="1236">IFERROR(AVERAGE(AI276:AN276),"")</f>
        <v/>
      </c>
      <c r="AP276" s="40" t="str">
        <f t="shared" si="1230"/>
        <v/>
      </c>
      <c r="AQ276" s="15"/>
      <c r="AR276" s="15"/>
    </row>
    <row r="277" spans="3:44">
      <c r="C277" s="232"/>
      <c r="D277" s="21" t="s">
        <v>18</v>
      </c>
      <c r="E277" s="22">
        <f>Data!H185</f>
        <v>0</v>
      </c>
      <c r="F277" s="22">
        <f>Data!I185</f>
        <v>0</v>
      </c>
      <c r="G277" s="22">
        <f>Data!J185</f>
        <v>0</v>
      </c>
      <c r="H277" s="22">
        <f>Data!K185</f>
        <v>0</v>
      </c>
      <c r="I277" s="22">
        <f>Data!L185</f>
        <v>0</v>
      </c>
      <c r="J277" s="22">
        <f>Data!M185</f>
        <v>0</v>
      </c>
      <c r="K277" s="22"/>
      <c r="L277" s="232"/>
      <c r="M277" s="130" t="s">
        <v>18</v>
      </c>
      <c r="N277" s="15" t="str">
        <f t="shared" si="1220"/>
        <v xml:space="preserve"> </v>
      </c>
      <c r="O277" s="15" t="str">
        <f t="shared" si="1220"/>
        <v xml:space="preserve"> </v>
      </c>
      <c r="P277" s="15" t="str">
        <f t="shared" si="1220"/>
        <v xml:space="preserve"> </v>
      </c>
      <c r="Q277" s="15" t="str">
        <f t="shared" si="1220"/>
        <v xml:space="preserve"> </v>
      </c>
      <c r="R277" s="15" t="str">
        <f t="shared" si="1220"/>
        <v xml:space="preserve"> </v>
      </c>
      <c r="S277" s="15" t="str">
        <f t="shared" si="1220"/>
        <v xml:space="preserve"> </v>
      </c>
      <c r="T277" s="20" t="str">
        <f t="shared" si="1221"/>
        <v/>
      </c>
      <c r="U277" s="40" t="str">
        <f t="shared" si="1222"/>
        <v/>
      </c>
      <c r="V277" s="109"/>
      <c r="W277" s="110">
        <v>70</v>
      </c>
      <c r="X277" s="20" t="str">
        <f>IFERROR(($N$25-N277)/W277,"")</f>
        <v/>
      </c>
      <c r="Y277" s="15" t="str">
        <f>IFERROR(($O$25-O277)/W277,"")</f>
        <v/>
      </c>
      <c r="Z277" s="15" t="str">
        <f>IFERROR(($P$25-P277)/W277,"")</f>
        <v/>
      </c>
      <c r="AA277" s="15" t="str">
        <f>IFERROR(($Q$25-Q277)/W277,"")</f>
        <v/>
      </c>
      <c r="AB277" s="15" t="str">
        <f>IFERROR(($R$25-R277)/W277,"")</f>
        <v/>
      </c>
      <c r="AC277" s="15" t="str">
        <f>IFERROR(($S$25-S277)/W277,"")</f>
        <v/>
      </c>
      <c r="AD277" s="20" t="str">
        <f>IFERROR(AVERAGE(X277:AC277), "")</f>
        <v/>
      </c>
      <c r="AE277" s="40" t="str">
        <f>IFERROR(STDEV(X277:AC277), "")</f>
        <v/>
      </c>
      <c r="AG277" s="229"/>
      <c r="AH277" s="77">
        <f>'Sample ID'!$F$16</f>
        <v>0</v>
      </c>
      <c r="AI277" s="77" t="str">
        <f>IFERROR((X277*$AH$43),"")</f>
        <v/>
      </c>
      <c r="AJ277" s="77" t="str">
        <f t="shared" ref="AJ277" si="1237">IFERROR((Y277*$AH$43),"")</f>
        <v/>
      </c>
      <c r="AK277" s="77" t="str">
        <f t="shared" ref="AK277" si="1238">IFERROR((Z277*$AH$43),"")</f>
        <v/>
      </c>
      <c r="AL277" s="77" t="str">
        <f t="shared" ref="AL277" si="1239">IFERROR((AA277*$AH$43),"")</f>
        <v/>
      </c>
      <c r="AM277" s="77" t="str">
        <f t="shared" ref="AM277" si="1240">IFERROR((AB277*$AH$43),"")</f>
        <v/>
      </c>
      <c r="AN277" s="77" t="str">
        <f t="shared" ref="AN277" si="1241">IFERROR((AC277*$AH$43),"")</f>
        <v/>
      </c>
      <c r="AO277" s="40" t="str">
        <f t="shared" si="1236"/>
        <v/>
      </c>
      <c r="AP277" s="40" t="str">
        <f>IFERROR(STDEV(AI277:AN277), "")</f>
        <v/>
      </c>
      <c r="AQ277" s="15"/>
      <c r="AR277" s="15"/>
    </row>
    <row r="278" spans="3:44">
      <c r="C278" s="232"/>
      <c r="D278" s="21" t="s">
        <v>19</v>
      </c>
      <c r="E278" s="22">
        <f>Data!H186</f>
        <v>0</v>
      </c>
      <c r="F278" s="22">
        <f>Data!I186</f>
        <v>0</v>
      </c>
      <c r="G278" s="22">
        <f>Data!J186</f>
        <v>0</v>
      </c>
      <c r="H278" s="22">
        <f>Data!K186</f>
        <v>0</v>
      </c>
      <c r="I278" s="22">
        <f>Data!L186</f>
        <v>0</v>
      </c>
      <c r="J278" s="22">
        <f>Data!M186</f>
        <v>0</v>
      </c>
      <c r="K278" s="22"/>
      <c r="L278" s="232"/>
      <c r="M278" s="130" t="s">
        <v>19</v>
      </c>
      <c r="N278" s="15" t="str">
        <f t="shared" si="1220"/>
        <v xml:space="preserve"> </v>
      </c>
      <c r="O278" s="15" t="str">
        <f t="shared" si="1220"/>
        <v xml:space="preserve"> </v>
      </c>
      <c r="P278" s="15" t="str">
        <f t="shared" si="1220"/>
        <v xml:space="preserve"> </v>
      </c>
      <c r="Q278" s="15" t="str">
        <f t="shared" si="1220"/>
        <v xml:space="preserve"> </v>
      </c>
      <c r="R278" s="15" t="str">
        <f t="shared" si="1220"/>
        <v xml:space="preserve"> </v>
      </c>
      <c r="S278" s="15" t="str">
        <f t="shared" si="1220"/>
        <v xml:space="preserve"> </v>
      </c>
      <c r="T278" s="20" t="str">
        <f t="shared" si="1221"/>
        <v/>
      </c>
      <c r="U278" s="40" t="str">
        <f t="shared" si="1222"/>
        <v/>
      </c>
      <c r="V278" s="109"/>
      <c r="W278" s="110">
        <v>70</v>
      </c>
      <c r="X278" s="20" t="str">
        <f>IFERROR(($N$26-N278)/W278,"")</f>
        <v/>
      </c>
      <c r="Y278" s="15" t="str">
        <f>IFERROR(($O$26-O278)/W278,"")</f>
        <v/>
      </c>
      <c r="Z278" s="15" t="str">
        <f>IFERROR(($P$26-P278)/W278,"")</f>
        <v/>
      </c>
      <c r="AA278" s="15" t="str">
        <f>IFERROR(($Q$17-Q278)/W278,"")</f>
        <v/>
      </c>
      <c r="AB278" s="15" t="str">
        <f>IFERROR(($R$26-R278)/W278,"")</f>
        <v/>
      </c>
      <c r="AC278" s="15" t="str">
        <f>IFERROR(($S$26-S278)/W278,"")</f>
        <v/>
      </c>
      <c r="AD278" s="20" t="str">
        <f t="shared" ref="AD278:AD281" si="1242">IFERROR(AVERAGE(X278:AC278), "")</f>
        <v/>
      </c>
      <c r="AE278" s="40" t="str">
        <f t="shared" ref="AE278:AE282" si="1243">IFERROR(STDEV(X278:AC278), "")</f>
        <v/>
      </c>
      <c r="AG278" s="229"/>
      <c r="AH278" s="77">
        <f>'Sample ID'!$F$17</f>
        <v>0</v>
      </c>
      <c r="AI278" s="77" t="str">
        <f>IFERROR((X278*$AH$44),"")</f>
        <v/>
      </c>
      <c r="AJ278" s="77" t="str">
        <f t="shared" ref="AJ278" si="1244">IFERROR((Y278*$AH$44),"")</f>
        <v/>
      </c>
      <c r="AK278" s="77" t="str">
        <f t="shared" ref="AK278" si="1245">IFERROR((Z278*$AH$44),"")</f>
        <v/>
      </c>
      <c r="AL278" s="77" t="str">
        <f t="shared" ref="AL278" si="1246">IFERROR((AA278*$AH$44),"")</f>
        <v/>
      </c>
      <c r="AM278" s="77" t="str">
        <f t="shared" ref="AM278" si="1247">IFERROR((AB278*$AH$44),"")</f>
        <v/>
      </c>
      <c r="AN278" s="77" t="str">
        <f t="shared" ref="AN278" si="1248">IFERROR((AC278*$AH$44),"")</f>
        <v/>
      </c>
      <c r="AO278" s="40" t="str">
        <f t="shared" si="1236"/>
        <v/>
      </c>
      <c r="AP278" s="40" t="str">
        <f t="shared" ref="AP278:AP282" si="1249">IFERROR(STDEV(AI278:AN278), "")</f>
        <v/>
      </c>
      <c r="AQ278" s="15"/>
      <c r="AR278" s="15"/>
    </row>
    <row r="279" spans="3:44">
      <c r="C279" s="232"/>
      <c r="D279" s="21" t="s">
        <v>20</v>
      </c>
      <c r="E279" s="22">
        <f>Data!H187</f>
        <v>0</v>
      </c>
      <c r="F279" s="22">
        <f>Data!I187</f>
        <v>0</v>
      </c>
      <c r="G279" s="22">
        <f>Data!J187</f>
        <v>0</v>
      </c>
      <c r="H279" s="22">
        <f>Data!K187</f>
        <v>0</v>
      </c>
      <c r="I279" s="22">
        <f>Data!L187</f>
        <v>0</v>
      </c>
      <c r="J279" s="22">
        <f>Data!M187</f>
        <v>0</v>
      </c>
      <c r="K279" s="22"/>
      <c r="L279" s="232"/>
      <c r="M279" s="130" t="s">
        <v>20</v>
      </c>
      <c r="N279" s="15" t="str">
        <f t="shared" si="1220"/>
        <v xml:space="preserve"> </v>
      </c>
      <c r="O279" s="15" t="str">
        <f t="shared" si="1220"/>
        <v xml:space="preserve"> </v>
      </c>
      <c r="P279" s="15" t="str">
        <f t="shared" si="1220"/>
        <v xml:space="preserve"> </v>
      </c>
      <c r="Q279" s="15" t="str">
        <f t="shared" si="1220"/>
        <v xml:space="preserve"> </v>
      </c>
      <c r="R279" s="15" t="str">
        <f t="shared" si="1220"/>
        <v xml:space="preserve"> </v>
      </c>
      <c r="S279" s="15" t="str">
        <f t="shared" si="1220"/>
        <v xml:space="preserve"> </v>
      </c>
      <c r="T279" s="20" t="str">
        <f t="shared" si="1221"/>
        <v/>
      </c>
      <c r="U279" s="40" t="str">
        <f t="shared" si="1222"/>
        <v/>
      </c>
      <c r="V279" s="109"/>
      <c r="W279" s="110">
        <v>70</v>
      </c>
      <c r="X279" s="20" t="str">
        <f>IFERROR(($N$27-N279)/W279,"")</f>
        <v/>
      </c>
      <c r="Y279" s="15" t="str">
        <f>IFERROR(($O$27-O279)/W279,"")</f>
        <v/>
      </c>
      <c r="Z279" s="15" t="str">
        <f>IFERROR(($P$27-P279)/W279,"")</f>
        <v/>
      </c>
      <c r="AA279" s="15" t="str">
        <f>IFERROR(($Q$18-Q279)/W279,"")</f>
        <v/>
      </c>
      <c r="AB279" s="15" t="str">
        <f>IFERROR(($R$27-R279)/W279,"")</f>
        <v/>
      </c>
      <c r="AC279" s="15" t="str">
        <f>IFERROR(($S$27-S279)/W279,"")</f>
        <v/>
      </c>
      <c r="AD279" s="20" t="str">
        <f t="shared" si="1242"/>
        <v/>
      </c>
      <c r="AE279" s="40" t="str">
        <f t="shared" si="1243"/>
        <v/>
      </c>
      <c r="AG279" s="229"/>
      <c r="AH279" s="77">
        <f>'Sample ID'!$F$18</f>
        <v>0</v>
      </c>
      <c r="AI279" s="77" t="str">
        <f>IFERROR((X279*$AH$45),"")</f>
        <v/>
      </c>
      <c r="AJ279" s="77" t="str">
        <f t="shared" ref="AJ279" si="1250">IFERROR((Y279*$AH$45),"")</f>
        <v/>
      </c>
      <c r="AK279" s="77" t="str">
        <f t="shared" ref="AK279" si="1251">IFERROR((Z279*$AH$45),"")</f>
        <v/>
      </c>
      <c r="AL279" s="77" t="str">
        <f t="shared" ref="AL279" si="1252">IFERROR((AA279*$AH$45),"")</f>
        <v/>
      </c>
      <c r="AM279" s="77" t="str">
        <f t="shared" ref="AM279" si="1253">IFERROR((AB279*$AH$45),"")</f>
        <v/>
      </c>
      <c r="AN279" s="77" t="str">
        <f t="shared" ref="AN279" si="1254">IFERROR((AC279*$AH$45),"")</f>
        <v/>
      </c>
      <c r="AO279" s="40" t="str">
        <f t="shared" si="1236"/>
        <v/>
      </c>
      <c r="AP279" s="40" t="str">
        <f t="shared" si="1249"/>
        <v/>
      </c>
      <c r="AQ279" s="15"/>
      <c r="AR279" s="15"/>
    </row>
    <row r="280" spans="3:44">
      <c r="C280" s="232"/>
      <c r="D280" s="21" t="s">
        <v>21</v>
      </c>
      <c r="E280" s="22">
        <f>Data!H188</f>
        <v>0</v>
      </c>
      <c r="F280" s="22">
        <f>Data!I188</f>
        <v>0</v>
      </c>
      <c r="G280" s="22">
        <f>Data!J188</f>
        <v>0</v>
      </c>
      <c r="H280" s="22">
        <f>Data!K188</f>
        <v>0</v>
      </c>
      <c r="I280" s="22">
        <f>Data!L188</f>
        <v>0</v>
      </c>
      <c r="J280" s="22">
        <f>Data!M188</f>
        <v>0</v>
      </c>
      <c r="K280" s="22"/>
      <c r="L280" s="232"/>
      <c r="M280" s="130" t="s">
        <v>21</v>
      </c>
      <c r="N280" s="15" t="str">
        <f t="shared" si="1220"/>
        <v xml:space="preserve"> </v>
      </c>
      <c r="O280" s="15" t="str">
        <f t="shared" si="1220"/>
        <v xml:space="preserve"> </v>
      </c>
      <c r="P280" s="15" t="str">
        <f t="shared" si="1220"/>
        <v xml:space="preserve"> </v>
      </c>
      <c r="Q280" s="15" t="str">
        <f t="shared" si="1220"/>
        <v xml:space="preserve"> </v>
      </c>
      <c r="R280" s="15" t="str">
        <f t="shared" si="1220"/>
        <v xml:space="preserve"> </v>
      </c>
      <c r="S280" s="15" t="str">
        <f t="shared" si="1220"/>
        <v xml:space="preserve"> </v>
      </c>
      <c r="T280" s="20" t="str">
        <f t="shared" si="1221"/>
        <v/>
      </c>
      <c r="U280" s="40" t="str">
        <f t="shared" si="1222"/>
        <v/>
      </c>
      <c r="V280" s="109"/>
      <c r="W280" s="110">
        <v>70</v>
      </c>
      <c r="X280" s="20" t="str">
        <f>IFERROR(($N$28-N280)/W280,"")</f>
        <v/>
      </c>
      <c r="Y280" s="15" t="str">
        <f>IFERROR(($O$28-O280)/W280,"")</f>
        <v/>
      </c>
      <c r="Z280" s="15" t="str">
        <f>IFERROR(($P$28-P280)/W280,"")</f>
        <v/>
      </c>
      <c r="AA280" s="15" t="str">
        <f>IFERROR(($Q$19-Q280)/W280,"")</f>
        <v/>
      </c>
      <c r="AB280" s="15" t="str">
        <f>IFERROR(($R$28-R280)/W280,"")</f>
        <v/>
      </c>
      <c r="AC280" s="15" t="str">
        <f>IFERROR(($S$28-S280)/W280,"")</f>
        <v/>
      </c>
      <c r="AD280" s="20" t="str">
        <f t="shared" si="1242"/>
        <v/>
      </c>
      <c r="AE280" s="40" t="str">
        <f t="shared" si="1243"/>
        <v/>
      </c>
      <c r="AG280" s="229"/>
      <c r="AH280" s="77">
        <f>'Sample ID'!$F$19</f>
        <v>0</v>
      </c>
      <c r="AI280" s="77" t="str">
        <f>IFERROR((X280*$AH$46),"")</f>
        <v/>
      </c>
      <c r="AJ280" s="77" t="str">
        <f t="shared" ref="AJ280" si="1255">IFERROR((Y280*$AH$46),"")</f>
        <v/>
      </c>
      <c r="AK280" s="77" t="str">
        <f t="shared" ref="AK280" si="1256">IFERROR((Z280*$AH$46),"")</f>
        <v/>
      </c>
      <c r="AL280" s="77" t="str">
        <f t="shared" ref="AL280" si="1257">IFERROR((AA280*$AH$46),"")</f>
        <v/>
      </c>
      <c r="AM280" s="77" t="str">
        <f t="shared" ref="AM280" si="1258">IFERROR((AB280*$AH$46),"")</f>
        <v/>
      </c>
      <c r="AN280" s="77" t="str">
        <f t="shared" ref="AN280" si="1259">IFERROR((AC280*$AH$46),"")</f>
        <v/>
      </c>
      <c r="AO280" s="40" t="str">
        <f t="shared" si="1236"/>
        <v/>
      </c>
      <c r="AP280" s="40" t="str">
        <f t="shared" si="1249"/>
        <v/>
      </c>
      <c r="AQ280" s="15"/>
      <c r="AR280" s="15"/>
    </row>
    <row r="281" spans="3:44">
      <c r="C281" s="232"/>
      <c r="D281" s="21" t="s">
        <v>22</v>
      </c>
      <c r="E281" s="22">
        <f>Data!H189</f>
        <v>0</v>
      </c>
      <c r="F281" s="22">
        <f>Data!I189</f>
        <v>0</v>
      </c>
      <c r="G281" s="22">
        <f>Data!J189</f>
        <v>0</v>
      </c>
      <c r="H281" s="22">
        <f>Data!K189</f>
        <v>0</v>
      </c>
      <c r="I281" s="22">
        <f>Data!L189</f>
        <v>0</v>
      </c>
      <c r="J281" s="22">
        <f>Data!M189</f>
        <v>0</v>
      </c>
      <c r="K281" s="22"/>
      <c r="L281" s="232"/>
      <c r="M281" s="130" t="s">
        <v>22</v>
      </c>
      <c r="N281" s="15" t="str">
        <f t="shared" si="1220"/>
        <v xml:space="preserve"> </v>
      </c>
      <c r="O281" s="15" t="str">
        <f t="shared" si="1220"/>
        <v xml:space="preserve"> </v>
      </c>
      <c r="P281" s="15" t="str">
        <f t="shared" si="1220"/>
        <v xml:space="preserve"> </v>
      </c>
      <c r="Q281" s="15" t="str">
        <f t="shared" si="1220"/>
        <v xml:space="preserve"> </v>
      </c>
      <c r="R281" s="15" t="str">
        <f t="shared" si="1220"/>
        <v xml:space="preserve"> </v>
      </c>
      <c r="S281" s="15" t="str">
        <f t="shared" si="1220"/>
        <v xml:space="preserve"> </v>
      </c>
      <c r="T281" s="20" t="str">
        <f t="shared" si="1221"/>
        <v/>
      </c>
      <c r="U281" s="40" t="str">
        <f t="shared" si="1222"/>
        <v/>
      </c>
      <c r="V281" s="109"/>
      <c r="W281" s="110">
        <v>70</v>
      </c>
      <c r="X281" s="20" t="str">
        <f>IFERROR(($N$29-N281)/W281,"")</f>
        <v/>
      </c>
      <c r="Y281" s="15" t="str">
        <f>IFERROR(($O$29-O281)/W281,"")</f>
        <v/>
      </c>
      <c r="Z281" s="15" t="str">
        <f>IFERROR(($P$29-P281)/W281,"")</f>
        <v/>
      </c>
      <c r="AA281" s="15" t="str">
        <f>IFERROR(($Q$20-Q281)/W281,"")</f>
        <v/>
      </c>
      <c r="AB281" s="15" t="str">
        <f>IFERROR(($R$29-R281)/W281,"")</f>
        <v/>
      </c>
      <c r="AC281" s="15" t="str">
        <f>IFERROR(($S$29-S281)/W281,"")</f>
        <v/>
      </c>
      <c r="AD281" s="20" t="str">
        <f t="shared" si="1242"/>
        <v/>
      </c>
      <c r="AE281" s="40" t="str">
        <f t="shared" si="1243"/>
        <v/>
      </c>
      <c r="AG281" s="229"/>
      <c r="AH281" s="77">
        <f>'Sample ID'!$F$20</f>
        <v>0</v>
      </c>
      <c r="AI281" s="77" t="str">
        <f>IFERROR((X281*$AH$47),"")</f>
        <v/>
      </c>
      <c r="AJ281" s="77" t="str">
        <f t="shared" ref="AJ281" si="1260">IFERROR((Y281*$AH$47),"")</f>
        <v/>
      </c>
      <c r="AK281" s="77" t="str">
        <f t="shared" ref="AK281" si="1261">IFERROR((Z281*$AH$47),"")</f>
        <v/>
      </c>
      <c r="AL281" s="77" t="str">
        <f t="shared" ref="AL281" si="1262">IFERROR((AA281*$AH$47),"")</f>
        <v/>
      </c>
      <c r="AM281" s="77" t="str">
        <f t="shared" ref="AM281" si="1263">IFERROR((AB281*$AH$47),"")</f>
        <v/>
      </c>
      <c r="AN281" s="77" t="str">
        <f t="shared" ref="AN281" si="1264">IFERROR((AC281*$AH$47),"")</f>
        <v/>
      </c>
      <c r="AO281" s="40" t="str">
        <f t="shared" si="1236"/>
        <v/>
      </c>
      <c r="AP281" s="40" t="str">
        <f t="shared" si="1249"/>
        <v/>
      </c>
      <c r="AQ281" s="15"/>
      <c r="AR281" s="15"/>
    </row>
    <row r="282" spans="3:44">
      <c r="C282" s="232"/>
      <c r="D282" s="21" t="s">
        <v>23</v>
      </c>
      <c r="E282" s="22">
        <f>Data!H190</f>
        <v>0</v>
      </c>
      <c r="F282" s="22">
        <f>Data!I190</f>
        <v>0</v>
      </c>
      <c r="G282" s="22">
        <f>Data!J190</f>
        <v>0</v>
      </c>
      <c r="H282" s="22">
        <f>Data!K190</f>
        <v>0</v>
      </c>
      <c r="I282" s="22">
        <f>Data!L190</f>
        <v>0</v>
      </c>
      <c r="J282" s="22">
        <f>Data!M190</f>
        <v>0</v>
      </c>
      <c r="K282" s="22"/>
      <c r="L282" s="232"/>
      <c r="M282" s="130" t="s">
        <v>23</v>
      </c>
      <c r="N282" s="15" t="str">
        <f t="shared" si="1220"/>
        <v xml:space="preserve"> </v>
      </c>
      <c r="O282" s="15" t="str">
        <f t="shared" si="1220"/>
        <v xml:space="preserve"> </v>
      </c>
      <c r="P282" s="15" t="str">
        <f t="shared" si="1220"/>
        <v xml:space="preserve"> </v>
      </c>
      <c r="Q282" s="15" t="str">
        <f t="shared" si="1220"/>
        <v xml:space="preserve"> </v>
      </c>
      <c r="R282" s="15" t="str">
        <f t="shared" si="1220"/>
        <v xml:space="preserve"> </v>
      </c>
      <c r="S282" s="15" t="str">
        <f t="shared" si="1220"/>
        <v xml:space="preserve"> </v>
      </c>
      <c r="T282" s="20" t="str">
        <f t="shared" si="1221"/>
        <v/>
      </c>
      <c r="U282" s="40" t="str">
        <f t="shared" si="1222"/>
        <v/>
      </c>
      <c r="V282" s="109"/>
      <c r="W282" s="110">
        <v>70</v>
      </c>
      <c r="X282" s="20" t="str">
        <f>IFERROR(($N$30-N282)/W282,"")</f>
        <v/>
      </c>
      <c r="Y282" s="15" t="str">
        <f>IFERROR(($O$30-O282)/W282,"")</f>
        <v/>
      </c>
      <c r="Z282" s="15" t="str">
        <f>IFERROR(($P$30-P282)/W282,"")</f>
        <v/>
      </c>
      <c r="AA282" s="15" t="str">
        <f>IFERROR(($Q$21-Q282)/W282,"")</f>
        <v/>
      </c>
      <c r="AB282" s="17" t="str">
        <f>IFERROR(($R$30-R282)/W282,"")</f>
        <v/>
      </c>
      <c r="AC282" s="15" t="str">
        <f>IFERROR(($S$30-S282)/W282,"")</f>
        <v/>
      </c>
      <c r="AD282" s="20" t="str">
        <f>IFERROR(AVERAGE(X282:AC282), "")</f>
        <v/>
      </c>
      <c r="AE282" s="40" t="str">
        <f t="shared" si="1243"/>
        <v/>
      </c>
      <c r="AG282" s="230"/>
      <c r="AH282" s="77">
        <f>'Sample ID'!$F$21</f>
        <v>0</v>
      </c>
      <c r="AI282" s="77" t="str">
        <f>IFERROR((X282*$AH$48),"")</f>
        <v/>
      </c>
      <c r="AJ282" s="77" t="str">
        <f t="shared" ref="AJ282" si="1265">IFERROR((Y282*$AH$48),"")</f>
        <v/>
      </c>
      <c r="AK282" s="77" t="str">
        <f t="shared" ref="AK282" si="1266">IFERROR((Z282*$AH$48),"")</f>
        <v/>
      </c>
      <c r="AL282" s="77" t="str">
        <f t="shared" ref="AL282" si="1267">IFERROR((AA282*$AH$48),"")</f>
        <v/>
      </c>
      <c r="AM282" s="77" t="str">
        <f t="shared" ref="AM282" si="1268">IFERROR((AB282*$AH$48),"")</f>
        <v/>
      </c>
      <c r="AN282" s="77" t="str">
        <f t="shared" ref="AN282" si="1269">IFERROR((AC282*$AH$48),"")</f>
        <v/>
      </c>
      <c r="AO282" s="40" t="str">
        <f t="shared" si="1236"/>
        <v/>
      </c>
      <c r="AP282" s="40" t="str">
        <f t="shared" si="1249"/>
        <v/>
      </c>
      <c r="AQ282" s="15"/>
      <c r="AR282" s="15"/>
    </row>
    <row r="283" spans="3:44">
      <c r="C283" s="232">
        <v>75</v>
      </c>
      <c r="D283" s="50"/>
      <c r="E283" s="58">
        <v>1</v>
      </c>
      <c r="F283" s="58">
        <v>2</v>
      </c>
      <c r="G283" s="59">
        <v>3</v>
      </c>
      <c r="H283" s="56">
        <v>4</v>
      </c>
      <c r="I283" s="56">
        <v>5</v>
      </c>
      <c r="J283" s="57">
        <v>6</v>
      </c>
      <c r="K283" s="27"/>
      <c r="L283" s="232">
        <v>75</v>
      </c>
      <c r="M283" s="38"/>
      <c r="N283" s="59">
        <v>1</v>
      </c>
      <c r="O283" s="38">
        <v>2</v>
      </c>
      <c r="P283" s="38">
        <v>3</v>
      </c>
      <c r="Q283" s="38">
        <v>4</v>
      </c>
      <c r="R283" s="38">
        <v>5</v>
      </c>
      <c r="S283" s="50">
        <v>6</v>
      </c>
      <c r="T283" s="38" t="s">
        <v>24</v>
      </c>
      <c r="U283" s="51" t="s">
        <v>3</v>
      </c>
      <c r="V283" s="109"/>
      <c r="W283" s="38" t="s">
        <v>34</v>
      </c>
      <c r="X283" s="38">
        <v>1</v>
      </c>
      <c r="Y283" s="38">
        <v>2</v>
      </c>
      <c r="Z283" s="38">
        <v>3</v>
      </c>
      <c r="AA283" s="38">
        <v>4</v>
      </c>
      <c r="AB283" s="38">
        <v>5</v>
      </c>
      <c r="AC283" s="50">
        <v>6</v>
      </c>
      <c r="AD283" s="50" t="s">
        <v>49</v>
      </c>
      <c r="AE283" s="51" t="s">
        <v>3</v>
      </c>
      <c r="AF283" s="69"/>
      <c r="AG283" s="231">
        <v>75</v>
      </c>
      <c r="AH283" s="38" t="s">
        <v>35</v>
      </c>
      <c r="AI283" s="38"/>
      <c r="AJ283" s="38"/>
      <c r="AK283" s="38"/>
      <c r="AL283" s="38"/>
      <c r="AM283" s="38"/>
      <c r="AN283" s="38"/>
      <c r="AO283" s="52" t="s">
        <v>36</v>
      </c>
      <c r="AP283" s="51" t="s">
        <v>3</v>
      </c>
      <c r="AQ283" s="15"/>
      <c r="AR283" s="15"/>
    </row>
    <row r="284" spans="3:44">
      <c r="C284" s="232"/>
      <c r="D284" s="21" t="s">
        <v>16</v>
      </c>
      <c r="E284" s="22">
        <f>Data!B195</f>
        <v>0</v>
      </c>
      <c r="F284" s="22">
        <f>Data!C195</f>
        <v>0</v>
      </c>
      <c r="G284" s="22">
        <f>Data!D195</f>
        <v>0</v>
      </c>
      <c r="H284" s="22">
        <f>Data!E195</f>
        <v>0</v>
      </c>
      <c r="I284" s="22">
        <f>Data!F195</f>
        <v>0</v>
      </c>
      <c r="J284" s="22">
        <f>Data!G195</f>
        <v>0</v>
      </c>
      <c r="K284" s="22"/>
      <c r="L284" s="232"/>
      <c r="M284" s="130" t="s">
        <v>16</v>
      </c>
      <c r="N284" s="15" t="str">
        <f t="shared" ref="N284:S291" si="1270">IF(((E284-$P$11)/$P$10)&gt;0,((E284-$P$11)/$P$10)," ")</f>
        <v xml:space="preserve"> </v>
      </c>
      <c r="O284" s="15" t="str">
        <f t="shared" si="1270"/>
        <v xml:space="preserve"> </v>
      </c>
      <c r="P284" s="15" t="str">
        <f t="shared" si="1270"/>
        <v xml:space="preserve"> </v>
      </c>
      <c r="Q284" s="15" t="str">
        <f t="shared" si="1270"/>
        <v xml:space="preserve"> </v>
      </c>
      <c r="R284" s="15" t="str">
        <f t="shared" si="1270"/>
        <v xml:space="preserve"> </v>
      </c>
      <c r="S284" s="15" t="str">
        <f t="shared" si="1270"/>
        <v xml:space="preserve"> </v>
      </c>
      <c r="T284" s="20" t="str">
        <f t="shared" si="1221"/>
        <v/>
      </c>
      <c r="U284" s="40" t="str">
        <f t="shared" si="1222"/>
        <v/>
      </c>
      <c r="V284" s="109"/>
      <c r="W284" s="110">
        <v>75</v>
      </c>
      <c r="X284" s="20" t="str">
        <f>IFERROR(($N$14-N284)/W284,"")</f>
        <v/>
      </c>
      <c r="Y284" s="15" t="str">
        <f>IFERROR(($O$14-O284)/W284,"")</f>
        <v/>
      </c>
      <c r="Z284" s="15" t="str">
        <f>IFERROR(($P$14-P284)/W284,"")</f>
        <v/>
      </c>
      <c r="AA284" s="15" t="str">
        <f>IFERROR(($Q$14-Q284)/W284,"")</f>
        <v/>
      </c>
      <c r="AB284" s="15" t="str">
        <f>IFERROR(($R$14-R284)/W284,"")</f>
        <v/>
      </c>
      <c r="AC284" s="15" t="str">
        <f>IFERROR(($S$14-S284)/W284,"")</f>
        <v/>
      </c>
      <c r="AD284" s="20" t="str">
        <f>IFERROR(AVERAGE(X284:AC284), "")</f>
        <v/>
      </c>
      <c r="AE284" s="40" t="str">
        <f>IFERROR(STDEV(X284:AC284), "")</f>
        <v/>
      </c>
      <c r="AG284" s="229"/>
      <c r="AH284" s="76">
        <f>'Sample ID'!$F$6</f>
        <v>1</v>
      </c>
      <c r="AI284" s="77" t="str">
        <f>IFERROR((X284*$AH$32),"")</f>
        <v/>
      </c>
      <c r="AJ284" s="77" t="str">
        <f t="shared" ref="AJ284" si="1271">IFERROR((Y284*$AH$32),"")</f>
        <v/>
      </c>
      <c r="AK284" s="77" t="str">
        <f t="shared" ref="AK284" si="1272">IFERROR((Z284*$AH$32),"")</f>
        <v/>
      </c>
      <c r="AL284" s="77" t="str">
        <f t="shared" ref="AL284" si="1273">IFERROR((AA284*$AH$32),"")</f>
        <v/>
      </c>
      <c r="AM284" s="77" t="str">
        <f t="shared" ref="AM284" si="1274">IFERROR((AB284*$AH$32),"")</f>
        <v/>
      </c>
      <c r="AN284" s="77" t="str">
        <f t="shared" ref="AN284" si="1275">IFERROR((AC284*$AH$32),"")</f>
        <v/>
      </c>
      <c r="AO284" s="40" t="str">
        <f>IFERROR(AVERAGE(AI284:AN284),"")</f>
        <v/>
      </c>
      <c r="AP284" s="40" t="str">
        <f>IFERROR(STDEV(AI284:AN284), "")</f>
        <v/>
      </c>
      <c r="AQ284" s="15"/>
      <c r="AR284" s="15"/>
    </row>
    <row r="285" spans="3:44">
      <c r="C285" s="232"/>
      <c r="D285" s="21" t="s">
        <v>17</v>
      </c>
      <c r="E285" s="22">
        <f>Data!B196</f>
        <v>0</v>
      </c>
      <c r="F285" s="22">
        <f>Data!C196</f>
        <v>0</v>
      </c>
      <c r="G285" s="22">
        <f>Data!D196</f>
        <v>0</v>
      </c>
      <c r="H285" s="22">
        <f>Data!E196</f>
        <v>0</v>
      </c>
      <c r="I285" s="22">
        <f>Data!F196</f>
        <v>0</v>
      </c>
      <c r="J285" s="22">
        <f>Data!G196</f>
        <v>0</v>
      </c>
      <c r="K285" s="22"/>
      <c r="L285" s="232"/>
      <c r="M285" s="130" t="s">
        <v>17</v>
      </c>
      <c r="N285" s="15" t="str">
        <f t="shared" si="1270"/>
        <v xml:space="preserve"> </v>
      </c>
      <c r="O285" s="15" t="str">
        <f t="shared" si="1270"/>
        <v xml:space="preserve"> </v>
      </c>
      <c r="P285" s="15" t="str">
        <f t="shared" si="1270"/>
        <v xml:space="preserve"> </v>
      </c>
      <c r="Q285" s="15" t="str">
        <f t="shared" si="1270"/>
        <v xml:space="preserve"> </v>
      </c>
      <c r="R285" s="15" t="str">
        <f t="shared" si="1270"/>
        <v xml:space="preserve"> </v>
      </c>
      <c r="S285" s="15" t="str">
        <f t="shared" si="1270"/>
        <v xml:space="preserve"> </v>
      </c>
      <c r="T285" s="20" t="str">
        <f t="shared" si="1221"/>
        <v/>
      </c>
      <c r="U285" s="40" t="str">
        <f t="shared" si="1222"/>
        <v/>
      </c>
      <c r="V285" s="109"/>
      <c r="W285" s="110">
        <v>75</v>
      </c>
      <c r="X285" s="20" t="str">
        <f>IFERROR(($N$15-N285)/W285,"")</f>
        <v/>
      </c>
      <c r="Y285" s="15" t="str">
        <f>IFERROR(($O$15-O285)/W285,"")</f>
        <v/>
      </c>
      <c r="Z285" s="15" t="str">
        <f>IFERROR(($P$15-P285)/W285,"")</f>
        <v/>
      </c>
      <c r="AA285" s="15" t="str">
        <f>IFERROR(($Q$15-Q285)/W285,"")</f>
        <v/>
      </c>
      <c r="AB285" s="15" t="str">
        <f>IFERROR(($R$15-R285)/W285,"")</f>
        <v/>
      </c>
      <c r="AC285" s="15" t="str">
        <f>IFERROR(($S$15-S285)/W285,"")</f>
        <v/>
      </c>
      <c r="AD285" s="20" t="str">
        <f>IFERROR(AVERAGE(X285:AC285), "")</f>
        <v/>
      </c>
      <c r="AE285" s="40" t="str">
        <f>IFERROR(STDEV(X285:AC285), "")</f>
        <v/>
      </c>
      <c r="AG285" s="229"/>
      <c r="AH285" s="77">
        <f>'Sample ID'!$F$7</f>
        <v>1</v>
      </c>
      <c r="AI285" s="77" t="str">
        <f>IFERROR((X285*$AH$33),"")</f>
        <v/>
      </c>
      <c r="AJ285" s="77" t="str">
        <f t="shared" ref="AJ285" si="1276">IFERROR((Y285*$AH$33),"")</f>
        <v/>
      </c>
      <c r="AK285" s="77" t="str">
        <f t="shared" ref="AK285" si="1277">IFERROR((Z285*$AH$33),"")</f>
        <v/>
      </c>
      <c r="AL285" s="77" t="str">
        <f t="shared" ref="AL285" si="1278">IFERROR((AA285*$AH$33),"")</f>
        <v/>
      </c>
      <c r="AM285" s="77" t="str">
        <f t="shared" ref="AM285" si="1279">IFERROR((AB285*$AH$33),"")</f>
        <v/>
      </c>
      <c r="AN285" s="77" t="str">
        <f t="shared" ref="AN285" si="1280">IFERROR((AC285*$AH$33),"")</f>
        <v/>
      </c>
      <c r="AO285" s="40" t="str">
        <f t="shared" ref="AO285:AO291" si="1281">IFERROR(AVERAGE(AI285:AN285),"")</f>
        <v/>
      </c>
      <c r="AP285" s="40" t="str">
        <f>IFERROR(STDEV(AI285:AN285), "")</f>
        <v/>
      </c>
      <c r="AQ285" s="15"/>
      <c r="AR285" s="15"/>
    </row>
    <row r="286" spans="3:44">
      <c r="C286" s="232"/>
      <c r="D286" s="21" t="s">
        <v>18</v>
      </c>
      <c r="E286" s="22">
        <f>Data!B197</f>
        <v>0</v>
      </c>
      <c r="F286" s="22">
        <f>Data!C197</f>
        <v>0</v>
      </c>
      <c r="G286" s="22">
        <f>Data!D197</f>
        <v>0</v>
      </c>
      <c r="H286" s="22">
        <f>Data!E197</f>
        <v>0</v>
      </c>
      <c r="I286" s="22">
        <f>Data!F197</f>
        <v>0</v>
      </c>
      <c r="J286" s="22">
        <f>Data!G197</f>
        <v>0</v>
      </c>
      <c r="K286" s="22"/>
      <c r="L286" s="232"/>
      <c r="M286" s="130" t="s">
        <v>18</v>
      </c>
      <c r="N286" s="15" t="str">
        <f t="shared" si="1270"/>
        <v xml:space="preserve"> </v>
      </c>
      <c r="O286" s="15" t="str">
        <f t="shared" si="1270"/>
        <v xml:space="preserve"> </v>
      </c>
      <c r="P286" s="15" t="str">
        <f t="shared" si="1270"/>
        <v xml:space="preserve"> </v>
      </c>
      <c r="Q286" s="15" t="str">
        <f t="shared" si="1270"/>
        <v xml:space="preserve"> </v>
      </c>
      <c r="R286" s="15" t="str">
        <f t="shared" si="1270"/>
        <v xml:space="preserve"> </v>
      </c>
      <c r="S286" s="15" t="str">
        <f t="shared" si="1270"/>
        <v xml:space="preserve"> </v>
      </c>
      <c r="T286" s="20" t="str">
        <f t="shared" si="1221"/>
        <v/>
      </c>
      <c r="U286" s="40" t="str">
        <f t="shared" si="1222"/>
        <v/>
      </c>
      <c r="V286" s="109"/>
      <c r="W286" s="110">
        <v>75</v>
      </c>
      <c r="X286" s="20" t="str">
        <f>IFERROR(($N$16-N286)/W286,"")</f>
        <v/>
      </c>
      <c r="Y286" s="15" t="str">
        <f>IFERROR(($O$16-O286)/W286,"")</f>
        <v/>
      </c>
      <c r="Z286" s="15" t="str">
        <f>IFERROR(($P$16-P286)/W286,"")</f>
        <v/>
      </c>
      <c r="AA286" s="15" t="str">
        <f>IFERROR(($Q$16-Q286)/W286,"")</f>
        <v/>
      </c>
      <c r="AB286" s="15" t="str">
        <f>IFERROR(($R$16-R286)/W286,"")</f>
        <v/>
      </c>
      <c r="AC286" s="15" t="str">
        <f>IFERROR(($S$16-S286)/W286,"")</f>
        <v/>
      </c>
      <c r="AD286" s="20" t="str">
        <f>IFERROR(AVERAGE(X286:AC286), "")</f>
        <v/>
      </c>
      <c r="AE286" s="40" t="str">
        <f t="shared" ref="AE286:AE291" si="1282">IFERROR(STDEV(X286:AC286), "")</f>
        <v/>
      </c>
      <c r="AG286" s="229"/>
      <c r="AH286" s="77">
        <f>'Sample ID'!$F$8</f>
        <v>1</v>
      </c>
      <c r="AI286" s="77" t="str">
        <f>IFERROR((X286*$AH$34),"")</f>
        <v/>
      </c>
      <c r="AJ286" s="77" t="str">
        <f t="shared" ref="AJ286" si="1283">IFERROR((Y286*$AH$34),"")</f>
        <v/>
      </c>
      <c r="AK286" s="77" t="str">
        <f t="shared" ref="AK286" si="1284">IFERROR((Z286*$AH$34),"")</f>
        <v/>
      </c>
      <c r="AL286" s="77" t="str">
        <f t="shared" ref="AL286" si="1285">IFERROR((AA286*$AH$34),"")</f>
        <v/>
      </c>
      <c r="AM286" s="77" t="str">
        <f t="shared" ref="AM286" si="1286">IFERROR((AB286*$AH$34),"")</f>
        <v/>
      </c>
      <c r="AN286" s="77" t="str">
        <f t="shared" ref="AN286" si="1287">IFERROR((AC286*$AH$34),"")</f>
        <v/>
      </c>
      <c r="AO286" s="40" t="str">
        <f t="shared" si="1281"/>
        <v/>
      </c>
      <c r="AP286" s="40" t="str">
        <f t="shared" ref="AP286:AP291" si="1288">IFERROR(STDEV(AI286:AN286), "")</f>
        <v/>
      </c>
      <c r="AQ286" s="15"/>
      <c r="AR286" s="15"/>
    </row>
    <row r="287" spans="3:44">
      <c r="C287" s="232"/>
      <c r="D287" s="21" t="s">
        <v>19</v>
      </c>
      <c r="E287" s="22">
        <f>Data!B198</f>
        <v>0</v>
      </c>
      <c r="F287" s="22">
        <f>Data!C198</f>
        <v>0</v>
      </c>
      <c r="G287" s="22">
        <f>Data!D198</f>
        <v>0</v>
      </c>
      <c r="H287" s="22">
        <f>Data!E198</f>
        <v>0</v>
      </c>
      <c r="I287" s="22">
        <f>Data!F198</f>
        <v>0</v>
      </c>
      <c r="J287" s="22">
        <f>Data!G198</f>
        <v>0</v>
      </c>
      <c r="K287" s="22"/>
      <c r="L287" s="232"/>
      <c r="M287" s="130" t="s">
        <v>19</v>
      </c>
      <c r="N287" s="15" t="str">
        <f t="shared" si="1270"/>
        <v xml:space="preserve"> </v>
      </c>
      <c r="O287" s="15" t="str">
        <f t="shared" si="1270"/>
        <v xml:space="preserve"> </v>
      </c>
      <c r="P287" s="15" t="str">
        <f t="shared" si="1270"/>
        <v xml:space="preserve"> </v>
      </c>
      <c r="Q287" s="15" t="str">
        <f t="shared" si="1270"/>
        <v xml:space="preserve"> </v>
      </c>
      <c r="R287" s="15" t="str">
        <f t="shared" si="1270"/>
        <v xml:space="preserve"> </v>
      </c>
      <c r="S287" s="15" t="str">
        <f t="shared" si="1270"/>
        <v xml:space="preserve"> </v>
      </c>
      <c r="T287" s="20" t="str">
        <f t="shared" si="1221"/>
        <v/>
      </c>
      <c r="U287" s="40" t="str">
        <f t="shared" si="1222"/>
        <v/>
      </c>
      <c r="V287" s="109"/>
      <c r="W287" s="110">
        <v>75</v>
      </c>
      <c r="X287" s="20" t="str">
        <f>IFERROR(($N$17-N287)/W287,"")</f>
        <v/>
      </c>
      <c r="Y287" s="15" t="str">
        <f>IFERROR(($O$17-O287)/W287,"")</f>
        <v/>
      </c>
      <c r="Z287" s="15" t="str">
        <f>IFERROR(($P$17-P287)/W287,"")</f>
        <v/>
      </c>
      <c r="AA287" s="15" t="str">
        <f>IFERROR(($Q$17-Q287)/W287,"")</f>
        <v/>
      </c>
      <c r="AB287" s="15" t="str">
        <f>IFERROR(($R$17-R287)/W287,"")</f>
        <v/>
      </c>
      <c r="AC287" s="15" t="str">
        <f>IFERROR(($S$17-S287)/W287,"")</f>
        <v/>
      </c>
      <c r="AD287" s="20" t="str">
        <f t="shared" ref="AD287:AD291" si="1289">IFERROR(AVERAGE(X287:AC287), "")</f>
        <v/>
      </c>
      <c r="AE287" s="40" t="str">
        <f t="shared" si="1282"/>
        <v/>
      </c>
      <c r="AG287" s="229"/>
      <c r="AH287" s="77">
        <f>'Sample ID'!$F$9</f>
        <v>1</v>
      </c>
      <c r="AI287" s="77" t="str">
        <f>IFERROR((X287*$AH$35),"")</f>
        <v/>
      </c>
      <c r="AJ287" s="77" t="str">
        <f t="shared" ref="AJ287" si="1290">IFERROR((Y287*$AH$35),"")</f>
        <v/>
      </c>
      <c r="AK287" s="77" t="str">
        <f t="shared" ref="AK287" si="1291">IFERROR((Z287*$AH$35),"")</f>
        <v/>
      </c>
      <c r="AL287" s="77" t="str">
        <f t="shared" ref="AL287" si="1292">IFERROR((AA287*$AH$35),"")</f>
        <v/>
      </c>
      <c r="AM287" s="77" t="str">
        <f t="shared" ref="AM287" si="1293">IFERROR((AB287*$AH$35),"")</f>
        <v/>
      </c>
      <c r="AN287" s="77" t="str">
        <f t="shared" ref="AN287" si="1294">IFERROR((AC287*$AH$35),"")</f>
        <v/>
      </c>
      <c r="AO287" s="40" t="str">
        <f t="shared" si="1281"/>
        <v/>
      </c>
      <c r="AP287" s="40" t="str">
        <f t="shared" si="1288"/>
        <v/>
      </c>
      <c r="AQ287" s="15"/>
      <c r="AR287" s="15"/>
    </row>
    <row r="288" spans="3:44">
      <c r="C288" s="232"/>
      <c r="D288" s="21" t="s">
        <v>20</v>
      </c>
      <c r="E288" s="22">
        <f>Data!B199</f>
        <v>0</v>
      </c>
      <c r="F288" s="22">
        <f>Data!C199</f>
        <v>0</v>
      </c>
      <c r="G288" s="22">
        <f>Data!D199</f>
        <v>0</v>
      </c>
      <c r="H288" s="22">
        <f>Data!E199</f>
        <v>0</v>
      </c>
      <c r="I288" s="22">
        <f>Data!F199</f>
        <v>0</v>
      </c>
      <c r="J288" s="22">
        <f>Data!G199</f>
        <v>0</v>
      </c>
      <c r="K288" s="22"/>
      <c r="L288" s="232"/>
      <c r="M288" s="130" t="s">
        <v>20</v>
      </c>
      <c r="N288" s="15" t="str">
        <f t="shared" si="1270"/>
        <v xml:space="preserve"> </v>
      </c>
      <c r="O288" s="15" t="str">
        <f t="shared" si="1270"/>
        <v xml:space="preserve"> </v>
      </c>
      <c r="P288" s="15" t="str">
        <f t="shared" si="1270"/>
        <v xml:space="preserve"> </v>
      </c>
      <c r="Q288" s="15" t="str">
        <f t="shared" si="1270"/>
        <v xml:space="preserve"> </v>
      </c>
      <c r="R288" s="15" t="str">
        <f t="shared" si="1270"/>
        <v xml:space="preserve"> </v>
      </c>
      <c r="S288" s="15" t="str">
        <f t="shared" si="1270"/>
        <v xml:space="preserve"> </v>
      </c>
      <c r="T288" s="20" t="str">
        <f t="shared" si="1221"/>
        <v/>
      </c>
      <c r="U288" s="40" t="str">
        <f t="shared" si="1222"/>
        <v/>
      </c>
      <c r="V288" s="109"/>
      <c r="W288" s="110">
        <v>75</v>
      </c>
      <c r="X288" s="20" t="str">
        <f>IFERROR(($N$18-N288)/W288,"")</f>
        <v/>
      </c>
      <c r="Y288" s="15" t="str">
        <f>IFERROR(($O$18-O288)/W288,"")</f>
        <v/>
      </c>
      <c r="Z288" s="15" t="str">
        <f>IFERROR(($P$18-P288)/W288,"")</f>
        <v/>
      </c>
      <c r="AA288" s="15" t="str">
        <f>IFERROR(($Q$18-Q288)/W288,"")</f>
        <v/>
      </c>
      <c r="AB288" s="15" t="str">
        <f>IFERROR(($R$18-R288)/W288,"")</f>
        <v/>
      </c>
      <c r="AC288" s="15" t="str">
        <f>IFERROR(($S$18-S288)/W288,"")</f>
        <v/>
      </c>
      <c r="AD288" s="20" t="str">
        <f t="shared" si="1289"/>
        <v/>
      </c>
      <c r="AE288" s="40" t="str">
        <f t="shared" si="1282"/>
        <v/>
      </c>
      <c r="AG288" s="229"/>
      <c r="AH288" s="77">
        <f>'Sample ID'!$F$10</f>
        <v>1</v>
      </c>
      <c r="AI288" s="77" t="str">
        <f>IFERROR((X288*$AH$36),"")</f>
        <v/>
      </c>
      <c r="AJ288" s="77" t="str">
        <f t="shared" ref="AJ288" si="1295">IFERROR((Y288*$AH$36),"")</f>
        <v/>
      </c>
      <c r="AK288" s="77" t="str">
        <f t="shared" ref="AK288" si="1296">IFERROR((Z288*$AH$36),"")</f>
        <v/>
      </c>
      <c r="AL288" s="77" t="str">
        <f t="shared" ref="AL288" si="1297">IFERROR((AA288*$AH$36),"")</f>
        <v/>
      </c>
      <c r="AM288" s="77" t="str">
        <f t="shared" ref="AM288" si="1298">IFERROR((AB288*$AH$36),"")</f>
        <v/>
      </c>
      <c r="AN288" s="77" t="str">
        <f t="shared" ref="AN288" si="1299">IFERROR((AC288*$AH$36),"")</f>
        <v/>
      </c>
      <c r="AO288" s="40" t="str">
        <f t="shared" si="1281"/>
        <v/>
      </c>
      <c r="AP288" s="40" t="str">
        <f t="shared" si="1288"/>
        <v/>
      </c>
      <c r="AQ288" s="15"/>
      <c r="AR288" s="15"/>
    </row>
    <row r="289" spans="3:44">
      <c r="C289" s="232"/>
      <c r="D289" s="21" t="s">
        <v>21</v>
      </c>
      <c r="E289" s="22">
        <f>Data!B200</f>
        <v>0</v>
      </c>
      <c r="F289" s="22">
        <f>Data!C200</f>
        <v>0</v>
      </c>
      <c r="G289" s="22">
        <f>Data!D200</f>
        <v>0</v>
      </c>
      <c r="H289" s="22">
        <f>Data!E200</f>
        <v>0</v>
      </c>
      <c r="I289" s="22">
        <f>Data!F200</f>
        <v>0</v>
      </c>
      <c r="J289" s="22">
        <f>Data!G200</f>
        <v>0</v>
      </c>
      <c r="K289" s="22"/>
      <c r="L289" s="232"/>
      <c r="M289" s="130" t="s">
        <v>21</v>
      </c>
      <c r="N289" s="15" t="str">
        <f t="shared" si="1270"/>
        <v xml:space="preserve"> </v>
      </c>
      <c r="O289" s="15" t="str">
        <f t="shared" si="1270"/>
        <v xml:space="preserve"> </v>
      </c>
      <c r="P289" s="15" t="str">
        <f t="shared" si="1270"/>
        <v xml:space="preserve"> </v>
      </c>
      <c r="Q289" s="15" t="str">
        <f t="shared" si="1270"/>
        <v xml:space="preserve"> </v>
      </c>
      <c r="R289" s="15" t="str">
        <f t="shared" si="1270"/>
        <v xml:space="preserve"> </v>
      </c>
      <c r="S289" s="15" t="str">
        <f t="shared" si="1270"/>
        <v xml:space="preserve"> </v>
      </c>
      <c r="T289" s="20" t="str">
        <f t="shared" si="1221"/>
        <v/>
      </c>
      <c r="U289" s="40" t="str">
        <f t="shared" si="1222"/>
        <v/>
      </c>
      <c r="V289" s="109"/>
      <c r="W289" s="110">
        <v>75</v>
      </c>
      <c r="X289" s="20" t="str">
        <f>IFERROR(($N$19-N289)/W289,"")</f>
        <v/>
      </c>
      <c r="Y289" s="15" t="str">
        <f>IFERROR(($O$19-O289)/W289,"")</f>
        <v/>
      </c>
      <c r="Z289" s="15" t="str">
        <f>IFERROR(($P$19-P289)/W289,"")</f>
        <v/>
      </c>
      <c r="AA289" s="15" t="str">
        <f>IFERROR(($Q$19-Q289)/W289,"")</f>
        <v/>
      </c>
      <c r="AB289" s="15" t="str">
        <f>IFERROR(($R$19-R289)/W289,"")</f>
        <v/>
      </c>
      <c r="AC289" s="15" t="str">
        <f>IFERROR(($S$19-S289)/W289,"")</f>
        <v/>
      </c>
      <c r="AD289" s="20" t="str">
        <f t="shared" si="1289"/>
        <v/>
      </c>
      <c r="AE289" s="40" t="str">
        <f t="shared" si="1282"/>
        <v/>
      </c>
      <c r="AG289" s="229"/>
      <c r="AH289" s="77">
        <f>'Sample ID'!$F$11</f>
        <v>0</v>
      </c>
      <c r="AI289" s="77" t="str">
        <f>IFERROR((X289*$AH$37),"")</f>
        <v/>
      </c>
      <c r="AJ289" s="77" t="str">
        <f t="shared" ref="AJ289" si="1300">IFERROR((Y289*$AH$37),"")</f>
        <v/>
      </c>
      <c r="AK289" s="77" t="str">
        <f t="shared" ref="AK289" si="1301">IFERROR((Z289*$AH$37),"")</f>
        <v/>
      </c>
      <c r="AL289" s="77" t="str">
        <f t="shared" ref="AL289" si="1302">IFERROR((AA289*$AH$37),"")</f>
        <v/>
      </c>
      <c r="AM289" s="77" t="str">
        <f t="shared" ref="AM289" si="1303">IFERROR((AB289*$AH$37),"")</f>
        <v/>
      </c>
      <c r="AN289" s="77" t="str">
        <f t="shared" ref="AN289" si="1304">IFERROR((AC289*$AH$37),"")</f>
        <v/>
      </c>
      <c r="AO289" s="40" t="str">
        <f t="shared" si="1281"/>
        <v/>
      </c>
      <c r="AP289" s="40" t="str">
        <f t="shared" si="1288"/>
        <v/>
      </c>
      <c r="AQ289" s="15"/>
      <c r="AR289" s="15"/>
    </row>
    <row r="290" spans="3:44">
      <c r="C290" s="232"/>
      <c r="D290" s="21" t="s">
        <v>22</v>
      </c>
      <c r="E290" s="22">
        <f>Data!B201</f>
        <v>0</v>
      </c>
      <c r="F290" s="22">
        <f>Data!C201</f>
        <v>0</v>
      </c>
      <c r="G290" s="22">
        <f>Data!D201</f>
        <v>0</v>
      </c>
      <c r="H290" s="22">
        <f>Data!E201</f>
        <v>0</v>
      </c>
      <c r="I290" s="22">
        <f>Data!F201</f>
        <v>0</v>
      </c>
      <c r="J290" s="22">
        <f>Data!G201</f>
        <v>0</v>
      </c>
      <c r="K290" s="22"/>
      <c r="L290" s="232"/>
      <c r="M290" s="130" t="s">
        <v>22</v>
      </c>
      <c r="N290" s="15" t="str">
        <f t="shared" si="1270"/>
        <v xml:space="preserve"> </v>
      </c>
      <c r="O290" s="15" t="str">
        <f t="shared" si="1270"/>
        <v xml:space="preserve"> </v>
      </c>
      <c r="P290" s="15" t="str">
        <f t="shared" si="1270"/>
        <v xml:space="preserve"> </v>
      </c>
      <c r="Q290" s="15" t="str">
        <f t="shared" si="1270"/>
        <v xml:space="preserve"> </v>
      </c>
      <c r="R290" s="15" t="str">
        <f t="shared" si="1270"/>
        <v xml:space="preserve"> </v>
      </c>
      <c r="S290" s="15" t="str">
        <f t="shared" si="1270"/>
        <v xml:space="preserve"> </v>
      </c>
      <c r="T290" s="20" t="str">
        <f t="shared" si="1221"/>
        <v/>
      </c>
      <c r="U290" s="40" t="str">
        <f t="shared" si="1222"/>
        <v/>
      </c>
      <c r="V290" s="109"/>
      <c r="W290" s="110">
        <v>75</v>
      </c>
      <c r="X290" s="20" t="str">
        <f>IFERROR(($N$20-N290)/W290,"")</f>
        <v/>
      </c>
      <c r="Y290" s="15" t="str">
        <f>IFERROR(($O$20-O290)/W290,"")</f>
        <v/>
      </c>
      <c r="Z290" s="15" t="str">
        <f>IFERROR(($P$20-P290)/W290,"")</f>
        <v/>
      </c>
      <c r="AA290" s="15" t="str">
        <f>IFERROR(($Q$20-Q290)/W290,"")</f>
        <v/>
      </c>
      <c r="AB290" s="15" t="str">
        <f>IFERROR(($R$20-R290)/W290,"")</f>
        <v/>
      </c>
      <c r="AC290" s="15" t="str">
        <f>IFERROR(($S$20-S290)/W290,"")</f>
        <v/>
      </c>
      <c r="AD290" s="20" t="str">
        <f t="shared" si="1289"/>
        <v/>
      </c>
      <c r="AE290" s="40" t="str">
        <f t="shared" si="1282"/>
        <v/>
      </c>
      <c r="AG290" s="229"/>
      <c r="AH290" s="77">
        <f>'Sample ID'!$F$12</f>
        <v>0</v>
      </c>
      <c r="AI290" s="77" t="str">
        <f>IFERROR((X290*$AH$38),"")</f>
        <v/>
      </c>
      <c r="AJ290" s="77" t="str">
        <f t="shared" ref="AJ290" si="1305">IFERROR((Y290*$AH$38),"")</f>
        <v/>
      </c>
      <c r="AK290" s="77" t="str">
        <f t="shared" ref="AK290" si="1306">IFERROR((Z290*$AH$38),"")</f>
        <v/>
      </c>
      <c r="AL290" s="77" t="str">
        <f t="shared" ref="AL290" si="1307">IFERROR((AA290*$AH$38),"")</f>
        <v/>
      </c>
      <c r="AM290" s="77" t="str">
        <f t="shared" ref="AM290" si="1308">IFERROR((AB290*$AH$38),"")</f>
        <v/>
      </c>
      <c r="AN290" s="77" t="str">
        <f t="shared" ref="AN290" si="1309">IFERROR((AC290*$AH$38),"")</f>
        <v/>
      </c>
      <c r="AO290" s="40" t="str">
        <f t="shared" si="1281"/>
        <v/>
      </c>
      <c r="AP290" s="40" t="str">
        <f t="shared" si="1288"/>
        <v/>
      </c>
      <c r="AQ290" s="15"/>
      <c r="AR290" s="15"/>
    </row>
    <row r="291" spans="3:44">
      <c r="C291" s="232"/>
      <c r="D291" s="21" t="s">
        <v>23</v>
      </c>
      <c r="E291" s="22">
        <f>Data!B202</f>
        <v>0</v>
      </c>
      <c r="F291" s="22">
        <f>Data!C202</f>
        <v>0</v>
      </c>
      <c r="G291" s="22">
        <f>Data!D202</f>
        <v>0</v>
      </c>
      <c r="H291" s="22">
        <f>Data!E202</f>
        <v>0</v>
      </c>
      <c r="I291" s="22">
        <f>Data!F202</f>
        <v>0</v>
      </c>
      <c r="J291" s="22">
        <f>Data!G202</f>
        <v>0</v>
      </c>
      <c r="K291" s="22"/>
      <c r="L291" s="232"/>
      <c r="M291" s="130" t="s">
        <v>23</v>
      </c>
      <c r="N291" s="15" t="str">
        <f t="shared" si="1270"/>
        <v xml:space="preserve"> </v>
      </c>
      <c r="O291" s="15" t="str">
        <f t="shared" si="1270"/>
        <v xml:space="preserve"> </v>
      </c>
      <c r="P291" s="15" t="str">
        <f t="shared" si="1270"/>
        <v xml:space="preserve"> </v>
      </c>
      <c r="Q291" s="15" t="str">
        <f t="shared" si="1270"/>
        <v xml:space="preserve"> </v>
      </c>
      <c r="R291" s="15" t="str">
        <f t="shared" si="1270"/>
        <v xml:space="preserve"> </v>
      </c>
      <c r="S291" s="15" t="str">
        <f t="shared" si="1270"/>
        <v xml:space="preserve"> </v>
      </c>
      <c r="T291" s="20" t="str">
        <f t="shared" si="1221"/>
        <v/>
      </c>
      <c r="U291" s="40" t="str">
        <f t="shared" si="1222"/>
        <v/>
      </c>
      <c r="V291" s="109"/>
      <c r="W291" s="110">
        <v>75</v>
      </c>
      <c r="X291" s="20" t="str">
        <f>IFERROR(($N$21-N291)/W291,"")</f>
        <v/>
      </c>
      <c r="Y291" s="15" t="str">
        <f>IFERROR(($O$21-O291)/W291,"")</f>
        <v/>
      </c>
      <c r="Z291" s="15" t="str">
        <f>IFERROR(($P$21-P291)/W291,"")</f>
        <v/>
      </c>
      <c r="AA291" s="15" t="str">
        <f>IFERROR(($Q$21-Q291)/W291,"")</f>
        <v/>
      </c>
      <c r="AB291" s="15" t="str">
        <f>IFERROR(($R$21-R291)/W291,"")</f>
        <v/>
      </c>
      <c r="AC291" s="15" t="str">
        <f>IFERROR(($S$21-S291)/W291,"")</f>
        <v/>
      </c>
      <c r="AD291" s="20" t="str">
        <f t="shared" si="1289"/>
        <v/>
      </c>
      <c r="AE291" s="40" t="str">
        <f t="shared" si="1282"/>
        <v/>
      </c>
      <c r="AG291" s="229"/>
      <c r="AH291" s="77">
        <f>'Sample ID'!$F$13</f>
        <v>0</v>
      </c>
      <c r="AI291" s="77" t="str">
        <f>IFERROR((X291*$AH$39),"")</f>
        <v/>
      </c>
      <c r="AJ291" s="77" t="str">
        <f t="shared" ref="AJ291" si="1310">IFERROR((Y291*$AH$39),"")</f>
        <v/>
      </c>
      <c r="AK291" s="77" t="str">
        <f t="shared" ref="AK291" si="1311">IFERROR((Z291*$AH$39),"")</f>
        <v/>
      </c>
      <c r="AL291" s="77" t="str">
        <f t="shared" ref="AL291" si="1312">IFERROR((AA291*$AH$39),"")</f>
        <v/>
      </c>
      <c r="AM291" s="77" t="str">
        <f t="shared" ref="AM291" si="1313">IFERROR((AB291*$AH$39),"")</f>
        <v/>
      </c>
      <c r="AN291" s="77" t="str">
        <f t="shared" ref="AN291" si="1314">IFERROR((AC291*$AH$39),"")</f>
        <v/>
      </c>
      <c r="AO291" s="40" t="str">
        <f t="shared" si="1281"/>
        <v/>
      </c>
      <c r="AP291" s="40" t="str">
        <f t="shared" si="1288"/>
        <v/>
      </c>
      <c r="AQ291" s="15"/>
      <c r="AR291" s="15"/>
    </row>
    <row r="292" spans="3:44">
      <c r="C292" s="232"/>
      <c r="D292" s="39"/>
      <c r="E292" s="56">
        <v>7</v>
      </c>
      <c r="F292" s="56">
        <v>8</v>
      </c>
      <c r="G292" s="57">
        <v>9</v>
      </c>
      <c r="H292" s="56">
        <v>10</v>
      </c>
      <c r="I292" s="56">
        <v>11</v>
      </c>
      <c r="J292" s="57">
        <v>12</v>
      </c>
      <c r="K292" s="27"/>
      <c r="L292" s="232"/>
      <c r="M292" s="38"/>
      <c r="N292" s="59">
        <v>7</v>
      </c>
      <c r="O292" s="38">
        <v>8</v>
      </c>
      <c r="P292" s="38">
        <v>9</v>
      </c>
      <c r="Q292" s="38">
        <v>10</v>
      </c>
      <c r="R292" s="38">
        <v>11</v>
      </c>
      <c r="S292" s="50">
        <v>12</v>
      </c>
      <c r="T292" s="38" t="s">
        <v>24</v>
      </c>
      <c r="U292" s="51" t="s">
        <v>3</v>
      </c>
      <c r="V292" s="109"/>
      <c r="W292" s="98"/>
      <c r="X292" s="38">
        <v>7</v>
      </c>
      <c r="Y292" s="38">
        <v>8</v>
      </c>
      <c r="Z292" s="38">
        <v>9</v>
      </c>
      <c r="AA292" s="38">
        <v>10</v>
      </c>
      <c r="AB292" s="38">
        <v>11</v>
      </c>
      <c r="AC292" s="50">
        <v>12</v>
      </c>
      <c r="AD292" s="50" t="s">
        <v>49</v>
      </c>
      <c r="AE292" s="51" t="s">
        <v>3</v>
      </c>
      <c r="AG292" s="229"/>
      <c r="AH292" s="119"/>
      <c r="AI292" s="119"/>
      <c r="AJ292" s="119"/>
      <c r="AK292" s="119"/>
      <c r="AL292" s="119"/>
      <c r="AM292" s="119"/>
      <c r="AN292" s="119"/>
      <c r="AO292" s="100" t="str">
        <f>IFERROR(#REF!/(#REF!/W292), " ")</f>
        <v xml:space="preserve"> </v>
      </c>
      <c r="AP292" s="51" t="s">
        <v>3</v>
      </c>
      <c r="AQ292" s="15"/>
      <c r="AR292" s="15"/>
    </row>
    <row r="293" spans="3:44">
      <c r="C293" s="232"/>
      <c r="D293" s="21" t="s">
        <v>16</v>
      </c>
      <c r="E293" s="22">
        <f>Data!H207</f>
        <v>0</v>
      </c>
      <c r="F293" s="22">
        <f>Data!I207</f>
        <v>0</v>
      </c>
      <c r="G293" s="22">
        <f>Data!J207</f>
        <v>0</v>
      </c>
      <c r="H293" s="22">
        <f>Data!K207</f>
        <v>0</v>
      </c>
      <c r="I293" s="22">
        <f>Data!L207</f>
        <v>0</v>
      </c>
      <c r="J293" s="22">
        <f>Data!M207</f>
        <v>0</v>
      </c>
      <c r="K293" s="22"/>
      <c r="L293" s="232"/>
      <c r="M293" s="130" t="s">
        <v>16</v>
      </c>
      <c r="N293" s="15" t="str">
        <f t="shared" ref="N293:S300" si="1315">IF(((E293-$P$11)/$P$10)&gt;0,((E293-$P$11)/$P$10)," ")</f>
        <v xml:space="preserve"> </v>
      </c>
      <c r="O293" s="15" t="str">
        <f t="shared" si="1315"/>
        <v xml:space="preserve"> </v>
      </c>
      <c r="P293" s="15" t="str">
        <f t="shared" si="1315"/>
        <v xml:space="preserve"> </v>
      </c>
      <c r="Q293" s="15" t="str">
        <f t="shared" si="1315"/>
        <v xml:space="preserve"> </v>
      </c>
      <c r="R293" s="15" t="str">
        <f t="shared" si="1315"/>
        <v xml:space="preserve"> </v>
      </c>
      <c r="S293" s="15" t="str">
        <f t="shared" si="1315"/>
        <v xml:space="preserve"> </v>
      </c>
      <c r="T293" s="20" t="str">
        <f t="shared" si="1221"/>
        <v/>
      </c>
      <c r="U293" s="40" t="str">
        <f t="shared" si="1222"/>
        <v/>
      </c>
      <c r="V293" s="109"/>
      <c r="W293" s="110">
        <v>75</v>
      </c>
      <c r="X293" s="20" t="str">
        <f>IFERROR(($N$23-N293)/W293,"")</f>
        <v/>
      </c>
      <c r="Y293" s="15" t="str">
        <f>IFERROR(($O$23-O293)/W293,"")</f>
        <v/>
      </c>
      <c r="Z293" s="15" t="str">
        <f>IFERROR(($P$23-P293)/W293,"")</f>
        <v/>
      </c>
      <c r="AA293" s="15" t="str">
        <f>IFERROR(($Q$23-Q293)/W293,"")</f>
        <v/>
      </c>
      <c r="AB293" s="15" t="str">
        <f>IFERROR(($R$23-R293)/W293,"")</f>
        <v/>
      </c>
      <c r="AC293" s="15" t="str">
        <f>IFERROR(($S$23-S293)/W293,"")</f>
        <v/>
      </c>
      <c r="AD293" s="20" t="str">
        <f t="shared" ref="AD293:AD294" si="1316">IFERROR(AVERAGE(X293:AC293), "")</f>
        <v/>
      </c>
      <c r="AE293" s="40" t="str">
        <f t="shared" ref="AE293:AE294" si="1317">IFERROR(STDEV(X293:AC293), "")</f>
        <v/>
      </c>
      <c r="AG293" s="229"/>
      <c r="AH293" s="77">
        <f>'Sample ID'!$F$14</f>
        <v>0</v>
      </c>
      <c r="AI293" s="77" t="str">
        <f>IFERROR((X293*$AH$41),"")</f>
        <v/>
      </c>
      <c r="AJ293" s="77" t="str">
        <f t="shared" ref="AJ293" si="1318">IFERROR((Y293*$AH$41),"")</f>
        <v/>
      </c>
      <c r="AK293" s="77" t="str">
        <f t="shared" ref="AK293" si="1319">IFERROR((Z293*$AH$41),"")</f>
        <v/>
      </c>
      <c r="AL293" s="77" t="str">
        <f t="shared" ref="AL293" si="1320">IFERROR((AA293*$AH$41),"")</f>
        <v/>
      </c>
      <c r="AM293" s="77" t="str">
        <f t="shared" ref="AM293" si="1321">IFERROR((AB293*$AH$41),"")</f>
        <v/>
      </c>
      <c r="AN293" s="77" t="str">
        <f t="shared" ref="AN293" si="1322">IFERROR((AC293*$AH$41),"")</f>
        <v/>
      </c>
      <c r="AO293" s="40" t="str">
        <f>IFERROR(AVERAGE(AI293:AN293),"")</f>
        <v/>
      </c>
      <c r="AP293" s="40" t="str">
        <f t="shared" ref="AP293:AP294" si="1323">IFERROR(STDEV(AI293:AN293), "")</f>
        <v/>
      </c>
      <c r="AQ293" s="15"/>
      <c r="AR293" s="15"/>
    </row>
    <row r="294" spans="3:44">
      <c r="C294" s="232"/>
      <c r="D294" s="21" t="s">
        <v>17</v>
      </c>
      <c r="E294" s="22">
        <f>Data!H208</f>
        <v>0</v>
      </c>
      <c r="F294" s="22">
        <f>Data!I208</f>
        <v>0</v>
      </c>
      <c r="G294" s="22">
        <f>Data!J208</f>
        <v>0</v>
      </c>
      <c r="H294" s="22">
        <f>Data!K208</f>
        <v>0</v>
      </c>
      <c r="I294" s="22">
        <f>Data!L208</f>
        <v>0</v>
      </c>
      <c r="J294" s="22">
        <f>Data!M208</f>
        <v>0</v>
      </c>
      <c r="K294" s="22"/>
      <c r="L294" s="232"/>
      <c r="M294" s="130" t="s">
        <v>17</v>
      </c>
      <c r="N294" s="15" t="str">
        <f t="shared" si="1315"/>
        <v xml:space="preserve"> </v>
      </c>
      <c r="O294" s="15" t="str">
        <f t="shared" si="1315"/>
        <v xml:space="preserve"> </v>
      </c>
      <c r="P294" s="15" t="str">
        <f t="shared" si="1315"/>
        <v xml:space="preserve"> </v>
      </c>
      <c r="Q294" s="15" t="str">
        <f t="shared" si="1315"/>
        <v xml:space="preserve"> </v>
      </c>
      <c r="R294" s="15" t="str">
        <f t="shared" si="1315"/>
        <v xml:space="preserve"> </v>
      </c>
      <c r="S294" s="15" t="str">
        <f t="shared" si="1315"/>
        <v xml:space="preserve"> </v>
      </c>
      <c r="T294" s="20" t="str">
        <f t="shared" si="1221"/>
        <v/>
      </c>
      <c r="U294" s="40" t="str">
        <f t="shared" si="1222"/>
        <v/>
      </c>
      <c r="V294" s="109"/>
      <c r="W294" s="110">
        <v>75</v>
      </c>
      <c r="X294" s="20" t="str">
        <f>IFERROR(($N$24-N294)/W294,"")</f>
        <v/>
      </c>
      <c r="Y294" s="15" t="str">
        <f>IFERROR(($O$24-O294)/W294,"")</f>
        <v/>
      </c>
      <c r="Z294" s="15" t="str">
        <f>IFERROR(($P$24-P294)/W294,"")</f>
        <v/>
      </c>
      <c r="AA294" s="15" t="str">
        <f>IFERROR(($Q$24-Q294)/W294,"")</f>
        <v/>
      </c>
      <c r="AB294" s="15" t="str">
        <f>IFERROR(($R$24-R294)/W294,"")</f>
        <v/>
      </c>
      <c r="AC294" s="15" t="str">
        <f>IFERROR(($S$24-S294)/W294,"")</f>
        <v/>
      </c>
      <c r="AD294" s="20" t="str">
        <f t="shared" si="1316"/>
        <v/>
      </c>
      <c r="AE294" s="40" t="str">
        <f t="shared" si="1317"/>
        <v/>
      </c>
      <c r="AG294" s="229"/>
      <c r="AH294" s="77">
        <f>'Sample ID'!$F$15</f>
        <v>0</v>
      </c>
      <c r="AI294" s="77" t="str">
        <f>IFERROR((X294*$AH$42),"")</f>
        <v/>
      </c>
      <c r="AJ294" s="77" t="str">
        <f t="shared" ref="AJ294" si="1324">IFERROR((Y294*$AH$42),"")</f>
        <v/>
      </c>
      <c r="AK294" s="77" t="str">
        <f t="shared" ref="AK294" si="1325">IFERROR((Z294*$AH$42),"")</f>
        <v/>
      </c>
      <c r="AL294" s="77" t="str">
        <f t="shared" ref="AL294" si="1326">IFERROR((AA294*$AH$42),"")</f>
        <v/>
      </c>
      <c r="AM294" s="77" t="str">
        <f t="shared" ref="AM294" si="1327">IFERROR((AB294*$AH$42),"")</f>
        <v/>
      </c>
      <c r="AN294" s="77" t="str">
        <f t="shared" ref="AN294" si="1328">IFERROR((AC294*$AH$42),"")</f>
        <v/>
      </c>
      <c r="AO294" s="40" t="str">
        <f t="shared" ref="AO294:AO300" si="1329">IFERROR(AVERAGE(AI294:AN294),"")</f>
        <v/>
      </c>
      <c r="AP294" s="40" t="str">
        <f t="shared" si="1323"/>
        <v/>
      </c>
      <c r="AQ294" s="15"/>
      <c r="AR294" s="15"/>
    </row>
    <row r="295" spans="3:44">
      <c r="C295" s="232"/>
      <c r="D295" s="21" t="s">
        <v>18</v>
      </c>
      <c r="E295" s="22">
        <f>Data!H209</f>
        <v>0</v>
      </c>
      <c r="F295" s="22">
        <f>Data!I209</f>
        <v>0</v>
      </c>
      <c r="G295" s="22">
        <f>Data!J209</f>
        <v>0</v>
      </c>
      <c r="H295" s="22">
        <f>Data!K209</f>
        <v>0</v>
      </c>
      <c r="I295" s="22">
        <f>Data!L209</f>
        <v>0</v>
      </c>
      <c r="J295" s="22">
        <f>Data!M209</f>
        <v>0</v>
      </c>
      <c r="K295" s="22"/>
      <c r="L295" s="232"/>
      <c r="M295" s="130" t="s">
        <v>18</v>
      </c>
      <c r="N295" s="15" t="str">
        <f t="shared" si="1315"/>
        <v xml:space="preserve"> </v>
      </c>
      <c r="O295" s="15" t="str">
        <f t="shared" si="1315"/>
        <v xml:space="preserve"> </v>
      </c>
      <c r="P295" s="15" t="str">
        <f t="shared" si="1315"/>
        <v xml:space="preserve"> </v>
      </c>
      <c r="Q295" s="15" t="str">
        <f t="shared" si="1315"/>
        <v xml:space="preserve"> </v>
      </c>
      <c r="R295" s="15" t="str">
        <f t="shared" si="1315"/>
        <v xml:space="preserve"> </v>
      </c>
      <c r="S295" s="15" t="str">
        <f t="shared" si="1315"/>
        <v xml:space="preserve"> </v>
      </c>
      <c r="T295" s="20" t="str">
        <f t="shared" si="1221"/>
        <v/>
      </c>
      <c r="U295" s="40" t="str">
        <f t="shared" si="1222"/>
        <v/>
      </c>
      <c r="V295" s="109"/>
      <c r="W295" s="110">
        <v>75</v>
      </c>
      <c r="X295" s="20" t="str">
        <f>IFERROR(($N$25-N295)/W295,"")</f>
        <v/>
      </c>
      <c r="Y295" s="15" t="str">
        <f>IFERROR(($O$25-O295)/W295,"")</f>
        <v/>
      </c>
      <c r="Z295" s="15" t="str">
        <f>IFERROR(($P$25-P295)/W295,"")</f>
        <v/>
      </c>
      <c r="AA295" s="15" t="str">
        <f>IFERROR(($Q$25-Q295)/W295,"")</f>
        <v/>
      </c>
      <c r="AB295" s="15" t="str">
        <f>IFERROR(($R$25-R295)/W295,"")</f>
        <v/>
      </c>
      <c r="AC295" s="15" t="str">
        <f>IFERROR(($S$25-S295)/W295,"")</f>
        <v/>
      </c>
      <c r="AD295" s="20" t="str">
        <f>IFERROR(AVERAGE(X295:AC295), "")</f>
        <v/>
      </c>
      <c r="AE295" s="40" t="str">
        <f>IFERROR(STDEV(X295:AC295), "")</f>
        <v/>
      </c>
      <c r="AG295" s="229"/>
      <c r="AH295" s="77">
        <f>'Sample ID'!$F$16</f>
        <v>0</v>
      </c>
      <c r="AI295" s="77" t="str">
        <f>IFERROR((X295*$AH$43),"")</f>
        <v/>
      </c>
      <c r="AJ295" s="77" t="str">
        <f t="shared" ref="AJ295" si="1330">IFERROR((Y295*$AH$43),"")</f>
        <v/>
      </c>
      <c r="AK295" s="77" t="str">
        <f t="shared" ref="AK295" si="1331">IFERROR((Z295*$AH$43),"")</f>
        <v/>
      </c>
      <c r="AL295" s="77" t="str">
        <f t="shared" ref="AL295" si="1332">IFERROR((AA295*$AH$43),"")</f>
        <v/>
      </c>
      <c r="AM295" s="77" t="str">
        <f t="shared" ref="AM295" si="1333">IFERROR((AB295*$AH$43),"")</f>
        <v/>
      </c>
      <c r="AN295" s="77" t="str">
        <f t="shared" ref="AN295" si="1334">IFERROR((AC295*$AH$43),"")</f>
        <v/>
      </c>
      <c r="AO295" s="40" t="str">
        <f t="shared" si="1329"/>
        <v/>
      </c>
      <c r="AP295" s="40" t="str">
        <f>IFERROR(STDEV(AI295:AN295), "")</f>
        <v/>
      </c>
      <c r="AQ295" s="15"/>
      <c r="AR295" s="15"/>
    </row>
    <row r="296" spans="3:44">
      <c r="C296" s="232"/>
      <c r="D296" s="21" t="s">
        <v>19</v>
      </c>
      <c r="E296" s="22">
        <f>Data!H210</f>
        <v>0</v>
      </c>
      <c r="F296" s="22">
        <f>Data!I210</f>
        <v>0</v>
      </c>
      <c r="G296" s="22">
        <f>Data!J210</f>
        <v>0</v>
      </c>
      <c r="H296" s="22">
        <f>Data!K210</f>
        <v>0</v>
      </c>
      <c r="I296" s="22">
        <f>Data!L210</f>
        <v>0</v>
      </c>
      <c r="J296" s="22">
        <f>Data!M210</f>
        <v>0</v>
      </c>
      <c r="K296" s="22"/>
      <c r="L296" s="232"/>
      <c r="M296" s="130" t="s">
        <v>19</v>
      </c>
      <c r="N296" s="15" t="str">
        <f t="shared" si="1315"/>
        <v xml:space="preserve"> </v>
      </c>
      <c r="O296" s="15" t="str">
        <f t="shared" si="1315"/>
        <v xml:space="preserve"> </v>
      </c>
      <c r="P296" s="15" t="str">
        <f t="shared" si="1315"/>
        <v xml:space="preserve"> </v>
      </c>
      <c r="Q296" s="15" t="str">
        <f t="shared" si="1315"/>
        <v xml:space="preserve"> </v>
      </c>
      <c r="R296" s="15" t="str">
        <f t="shared" si="1315"/>
        <v xml:space="preserve"> </v>
      </c>
      <c r="S296" s="15" t="str">
        <f t="shared" si="1315"/>
        <v xml:space="preserve"> </v>
      </c>
      <c r="T296" s="20" t="str">
        <f t="shared" si="1221"/>
        <v/>
      </c>
      <c r="U296" s="40" t="str">
        <f t="shared" si="1222"/>
        <v/>
      </c>
      <c r="V296" s="109"/>
      <c r="W296" s="110">
        <v>75</v>
      </c>
      <c r="X296" s="20" t="str">
        <f>IFERROR(($N$26-N296)/W296,"")</f>
        <v/>
      </c>
      <c r="Y296" s="15" t="str">
        <f>IFERROR(($O$26-O296)/W296,"")</f>
        <v/>
      </c>
      <c r="Z296" s="15" t="str">
        <f>IFERROR(($P$26-P296)/W296,"")</f>
        <v/>
      </c>
      <c r="AA296" s="15" t="str">
        <f>IFERROR(($Q$17-Q296)/W296,"")</f>
        <v/>
      </c>
      <c r="AB296" s="15" t="str">
        <f>IFERROR(($R$26-R296)/W296,"")</f>
        <v/>
      </c>
      <c r="AC296" s="15" t="str">
        <f>IFERROR(($S$26-S296)/W296,"")</f>
        <v/>
      </c>
      <c r="AD296" s="20" t="str">
        <f t="shared" ref="AD296:AD299" si="1335">IFERROR(AVERAGE(X296:AC296), "")</f>
        <v/>
      </c>
      <c r="AE296" s="40" t="str">
        <f t="shared" ref="AE296:AE300" si="1336">IFERROR(STDEV(X296:AC296), "")</f>
        <v/>
      </c>
      <c r="AG296" s="229"/>
      <c r="AH296" s="77">
        <f>'Sample ID'!$F$17</f>
        <v>0</v>
      </c>
      <c r="AI296" s="77" t="str">
        <f>IFERROR((X296*$AH$44),"")</f>
        <v/>
      </c>
      <c r="AJ296" s="77" t="str">
        <f t="shared" ref="AJ296" si="1337">IFERROR((Y296*$AH$44),"")</f>
        <v/>
      </c>
      <c r="AK296" s="77" t="str">
        <f t="shared" ref="AK296" si="1338">IFERROR((Z296*$AH$44),"")</f>
        <v/>
      </c>
      <c r="AL296" s="77" t="str">
        <f t="shared" ref="AL296" si="1339">IFERROR((AA296*$AH$44),"")</f>
        <v/>
      </c>
      <c r="AM296" s="77" t="str">
        <f t="shared" ref="AM296" si="1340">IFERROR((AB296*$AH$44),"")</f>
        <v/>
      </c>
      <c r="AN296" s="77" t="str">
        <f t="shared" ref="AN296" si="1341">IFERROR((AC296*$AH$44),"")</f>
        <v/>
      </c>
      <c r="AO296" s="40" t="str">
        <f t="shared" si="1329"/>
        <v/>
      </c>
      <c r="AP296" s="40" t="str">
        <f t="shared" ref="AP296:AP300" si="1342">IFERROR(STDEV(AI296:AN296), "")</f>
        <v/>
      </c>
      <c r="AQ296" s="15"/>
      <c r="AR296" s="15"/>
    </row>
    <row r="297" spans="3:44">
      <c r="C297" s="232"/>
      <c r="D297" s="21" t="s">
        <v>20</v>
      </c>
      <c r="E297" s="22">
        <f>Data!H211</f>
        <v>0</v>
      </c>
      <c r="F297" s="22">
        <f>Data!I211</f>
        <v>0</v>
      </c>
      <c r="G297" s="22">
        <f>Data!J211</f>
        <v>0</v>
      </c>
      <c r="H297" s="22">
        <f>Data!K211</f>
        <v>0</v>
      </c>
      <c r="I297" s="22">
        <f>Data!L211</f>
        <v>0</v>
      </c>
      <c r="J297" s="22">
        <f>Data!M211</f>
        <v>0</v>
      </c>
      <c r="K297" s="22"/>
      <c r="L297" s="232"/>
      <c r="M297" s="130" t="s">
        <v>20</v>
      </c>
      <c r="N297" s="15" t="str">
        <f t="shared" si="1315"/>
        <v xml:space="preserve"> </v>
      </c>
      <c r="O297" s="15" t="str">
        <f t="shared" si="1315"/>
        <v xml:space="preserve"> </v>
      </c>
      <c r="P297" s="15" t="str">
        <f t="shared" si="1315"/>
        <v xml:space="preserve"> </v>
      </c>
      <c r="Q297" s="15" t="str">
        <f t="shared" si="1315"/>
        <v xml:space="preserve"> </v>
      </c>
      <c r="R297" s="15" t="str">
        <f t="shared" si="1315"/>
        <v xml:space="preserve"> </v>
      </c>
      <c r="S297" s="15" t="str">
        <f t="shared" si="1315"/>
        <v xml:space="preserve"> </v>
      </c>
      <c r="T297" s="20" t="str">
        <f t="shared" si="1221"/>
        <v/>
      </c>
      <c r="U297" s="40" t="str">
        <f t="shared" si="1222"/>
        <v/>
      </c>
      <c r="V297" s="109"/>
      <c r="W297" s="110">
        <v>75</v>
      </c>
      <c r="X297" s="20" t="str">
        <f>IFERROR(($N$27-N297)/W297,"")</f>
        <v/>
      </c>
      <c r="Y297" s="15" t="str">
        <f>IFERROR(($O$27-O297)/W297,"")</f>
        <v/>
      </c>
      <c r="Z297" s="15" t="str">
        <f>IFERROR(($P$27-P297)/W297,"")</f>
        <v/>
      </c>
      <c r="AA297" s="15" t="str">
        <f>IFERROR(($Q$18-Q297)/W297,"")</f>
        <v/>
      </c>
      <c r="AB297" s="15" t="str">
        <f>IFERROR(($R$27-R297)/W297,"")</f>
        <v/>
      </c>
      <c r="AC297" s="15" t="str">
        <f>IFERROR(($S$27-S297)/W297,"")</f>
        <v/>
      </c>
      <c r="AD297" s="20" t="str">
        <f t="shared" si="1335"/>
        <v/>
      </c>
      <c r="AE297" s="40" t="str">
        <f t="shared" si="1336"/>
        <v/>
      </c>
      <c r="AG297" s="229"/>
      <c r="AH297" s="77">
        <f>'Sample ID'!$F$18</f>
        <v>0</v>
      </c>
      <c r="AI297" s="77" t="str">
        <f>IFERROR((X297*$AH$45),"")</f>
        <v/>
      </c>
      <c r="AJ297" s="77" t="str">
        <f t="shared" ref="AJ297" si="1343">IFERROR((Y297*$AH$45),"")</f>
        <v/>
      </c>
      <c r="AK297" s="77" t="str">
        <f t="shared" ref="AK297" si="1344">IFERROR((Z297*$AH$45),"")</f>
        <v/>
      </c>
      <c r="AL297" s="77" t="str">
        <f t="shared" ref="AL297" si="1345">IFERROR((AA297*$AH$45),"")</f>
        <v/>
      </c>
      <c r="AM297" s="77" t="str">
        <f t="shared" ref="AM297" si="1346">IFERROR((AB297*$AH$45),"")</f>
        <v/>
      </c>
      <c r="AN297" s="77" t="str">
        <f t="shared" ref="AN297" si="1347">IFERROR((AC297*$AH$45),"")</f>
        <v/>
      </c>
      <c r="AO297" s="40" t="str">
        <f t="shared" si="1329"/>
        <v/>
      </c>
      <c r="AP297" s="40" t="str">
        <f t="shared" si="1342"/>
        <v/>
      </c>
      <c r="AQ297" s="15"/>
      <c r="AR297" s="15"/>
    </row>
    <row r="298" spans="3:44">
      <c r="C298" s="232"/>
      <c r="D298" s="21" t="s">
        <v>21</v>
      </c>
      <c r="E298" s="22">
        <f>Data!H212</f>
        <v>0</v>
      </c>
      <c r="F298" s="22">
        <f>Data!I212</f>
        <v>0</v>
      </c>
      <c r="G298" s="22">
        <f>Data!J212</f>
        <v>0</v>
      </c>
      <c r="H298" s="22">
        <f>Data!K212</f>
        <v>0</v>
      </c>
      <c r="I298" s="22">
        <f>Data!L212</f>
        <v>0</v>
      </c>
      <c r="J298" s="22">
        <f>Data!M212</f>
        <v>0</v>
      </c>
      <c r="K298" s="22"/>
      <c r="L298" s="232"/>
      <c r="M298" s="130" t="s">
        <v>21</v>
      </c>
      <c r="N298" s="15" t="str">
        <f t="shared" si="1315"/>
        <v xml:space="preserve"> </v>
      </c>
      <c r="O298" s="15" t="str">
        <f t="shared" si="1315"/>
        <v xml:space="preserve"> </v>
      </c>
      <c r="P298" s="15" t="str">
        <f t="shared" si="1315"/>
        <v xml:space="preserve"> </v>
      </c>
      <c r="Q298" s="15" t="str">
        <f t="shared" si="1315"/>
        <v xml:space="preserve"> </v>
      </c>
      <c r="R298" s="15" t="str">
        <f t="shared" si="1315"/>
        <v xml:space="preserve"> </v>
      </c>
      <c r="S298" s="15" t="str">
        <f t="shared" si="1315"/>
        <v xml:space="preserve"> </v>
      </c>
      <c r="T298" s="20" t="str">
        <f t="shared" si="1221"/>
        <v/>
      </c>
      <c r="U298" s="40" t="str">
        <f t="shared" si="1222"/>
        <v/>
      </c>
      <c r="V298" s="109"/>
      <c r="W298" s="110">
        <v>75</v>
      </c>
      <c r="X298" s="20" t="str">
        <f>IFERROR(($N$28-N298)/W298,"")</f>
        <v/>
      </c>
      <c r="Y298" s="15" t="str">
        <f>IFERROR(($O$28-O298)/W298,"")</f>
        <v/>
      </c>
      <c r="Z298" s="15" t="str">
        <f>IFERROR(($P$28-P298)/W298,"")</f>
        <v/>
      </c>
      <c r="AA298" s="15" t="str">
        <f>IFERROR(($Q$19-Q298)/W298,"")</f>
        <v/>
      </c>
      <c r="AB298" s="15" t="str">
        <f>IFERROR(($R$28-R298)/W298,"")</f>
        <v/>
      </c>
      <c r="AC298" s="15" t="str">
        <f>IFERROR(($S$28-S298)/W298,"")</f>
        <v/>
      </c>
      <c r="AD298" s="20" t="str">
        <f t="shared" si="1335"/>
        <v/>
      </c>
      <c r="AE298" s="40" t="str">
        <f t="shared" si="1336"/>
        <v/>
      </c>
      <c r="AG298" s="229"/>
      <c r="AH298" s="77">
        <f>'Sample ID'!$F$19</f>
        <v>0</v>
      </c>
      <c r="AI298" s="77" t="str">
        <f>IFERROR((X298*$AH$46),"")</f>
        <v/>
      </c>
      <c r="AJ298" s="77" t="str">
        <f t="shared" ref="AJ298" si="1348">IFERROR((Y298*$AH$46),"")</f>
        <v/>
      </c>
      <c r="AK298" s="77" t="str">
        <f t="shared" ref="AK298" si="1349">IFERROR((Z298*$AH$46),"")</f>
        <v/>
      </c>
      <c r="AL298" s="77" t="str">
        <f t="shared" ref="AL298" si="1350">IFERROR((AA298*$AH$46),"")</f>
        <v/>
      </c>
      <c r="AM298" s="77" t="str">
        <f t="shared" ref="AM298" si="1351">IFERROR((AB298*$AH$46),"")</f>
        <v/>
      </c>
      <c r="AN298" s="77" t="str">
        <f t="shared" ref="AN298" si="1352">IFERROR((AC298*$AH$46),"")</f>
        <v/>
      </c>
      <c r="AO298" s="40" t="str">
        <f t="shared" si="1329"/>
        <v/>
      </c>
      <c r="AP298" s="40" t="str">
        <f t="shared" si="1342"/>
        <v/>
      </c>
      <c r="AQ298" s="15"/>
      <c r="AR298" s="15"/>
    </row>
    <row r="299" spans="3:44">
      <c r="C299" s="232"/>
      <c r="D299" s="21" t="s">
        <v>22</v>
      </c>
      <c r="E299" s="22">
        <f>Data!H213</f>
        <v>0</v>
      </c>
      <c r="F299" s="22">
        <f>Data!I213</f>
        <v>0</v>
      </c>
      <c r="G299" s="22">
        <f>Data!J213</f>
        <v>0</v>
      </c>
      <c r="H299" s="22">
        <f>Data!K213</f>
        <v>0</v>
      </c>
      <c r="I299" s="22">
        <f>Data!L213</f>
        <v>0</v>
      </c>
      <c r="J299" s="22">
        <f>Data!M213</f>
        <v>0</v>
      </c>
      <c r="K299" s="22"/>
      <c r="L299" s="232"/>
      <c r="M299" s="130" t="s">
        <v>22</v>
      </c>
      <c r="N299" s="15" t="str">
        <f t="shared" si="1315"/>
        <v xml:space="preserve"> </v>
      </c>
      <c r="O299" s="15" t="str">
        <f t="shared" si="1315"/>
        <v xml:space="preserve"> </v>
      </c>
      <c r="P299" s="15" t="str">
        <f t="shared" si="1315"/>
        <v xml:space="preserve"> </v>
      </c>
      <c r="Q299" s="15" t="str">
        <f t="shared" si="1315"/>
        <v xml:space="preserve"> </v>
      </c>
      <c r="R299" s="15" t="str">
        <f t="shared" si="1315"/>
        <v xml:space="preserve"> </v>
      </c>
      <c r="S299" s="15" t="str">
        <f t="shared" si="1315"/>
        <v xml:space="preserve"> </v>
      </c>
      <c r="T299" s="20" t="str">
        <f t="shared" si="1221"/>
        <v/>
      </c>
      <c r="U299" s="40" t="str">
        <f t="shared" si="1222"/>
        <v/>
      </c>
      <c r="V299" s="109"/>
      <c r="W299" s="110">
        <v>75</v>
      </c>
      <c r="X299" s="20" t="str">
        <f>IFERROR(($N$29-N299)/W299,"")</f>
        <v/>
      </c>
      <c r="Y299" s="15" t="str">
        <f>IFERROR(($O$29-O299)/W299,"")</f>
        <v/>
      </c>
      <c r="Z299" s="15" t="str">
        <f>IFERROR(($P$29-P299)/W299,"")</f>
        <v/>
      </c>
      <c r="AA299" s="15" t="str">
        <f>IFERROR(($Q$20-Q299)/W299,"")</f>
        <v/>
      </c>
      <c r="AB299" s="15" t="str">
        <f>IFERROR(($R$29-R299)/W299,"")</f>
        <v/>
      </c>
      <c r="AC299" s="15" t="str">
        <f>IFERROR(($S$29-S299)/W299,"")</f>
        <v/>
      </c>
      <c r="AD299" s="20" t="str">
        <f t="shared" si="1335"/>
        <v/>
      </c>
      <c r="AE299" s="40" t="str">
        <f t="shared" si="1336"/>
        <v/>
      </c>
      <c r="AG299" s="229"/>
      <c r="AH299" s="77">
        <f>'Sample ID'!$F$20</f>
        <v>0</v>
      </c>
      <c r="AI299" s="77" t="str">
        <f>IFERROR((X299*$AH$47),"")</f>
        <v/>
      </c>
      <c r="AJ299" s="77" t="str">
        <f t="shared" ref="AJ299" si="1353">IFERROR((Y299*$AH$47),"")</f>
        <v/>
      </c>
      <c r="AK299" s="77" t="str">
        <f t="shared" ref="AK299" si="1354">IFERROR((Z299*$AH$47),"")</f>
        <v/>
      </c>
      <c r="AL299" s="77" t="str">
        <f t="shared" ref="AL299" si="1355">IFERROR((AA299*$AH$47),"")</f>
        <v/>
      </c>
      <c r="AM299" s="77" t="str">
        <f t="shared" ref="AM299" si="1356">IFERROR((AB299*$AH$47),"")</f>
        <v/>
      </c>
      <c r="AN299" s="77" t="str">
        <f t="shared" ref="AN299" si="1357">IFERROR((AC299*$AH$47),"")</f>
        <v/>
      </c>
      <c r="AO299" s="40" t="str">
        <f t="shared" si="1329"/>
        <v/>
      </c>
      <c r="AP299" s="40" t="str">
        <f t="shared" si="1342"/>
        <v/>
      </c>
      <c r="AQ299" s="15"/>
      <c r="AR299" s="15"/>
    </row>
    <row r="300" spans="3:44">
      <c r="C300" s="232"/>
      <c r="D300" s="21" t="s">
        <v>23</v>
      </c>
      <c r="E300" s="22">
        <f>Data!H214</f>
        <v>0</v>
      </c>
      <c r="F300" s="22">
        <f>Data!I214</f>
        <v>0</v>
      </c>
      <c r="G300" s="22">
        <f>Data!J214</f>
        <v>0</v>
      </c>
      <c r="H300" s="22">
        <f>Data!K214</f>
        <v>0</v>
      </c>
      <c r="I300" s="22">
        <f>Data!L214</f>
        <v>0</v>
      </c>
      <c r="J300" s="22">
        <f>Data!M214</f>
        <v>0</v>
      </c>
      <c r="K300" s="22"/>
      <c r="L300" s="232"/>
      <c r="M300" s="130" t="s">
        <v>23</v>
      </c>
      <c r="N300" s="15" t="str">
        <f t="shared" si="1315"/>
        <v xml:space="preserve"> </v>
      </c>
      <c r="O300" s="15" t="str">
        <f t="shared" si="1315"/>
        <v xml:space="preserve"> </v>
      </c>
      <c r="P300" s="15" t="str">
        <f t="shared" si="1315"/>
        <v xml:space="preserve"> </v>
      </c>
      <c r="Q300" s="15" t="str">
        <f t="shared" si="1315"/>
        <v xml:space="preserve"> </v>
      </c>
      <c r="R300" s="15" t="str">
        <f t="shared" si="1315"/>
        <v xml:space="preserve"> </v>
      </c>
      <c r="S300" s="15" t="str">
        <f t="shared" si="1315"/>
        <v xml:space="preserve"> </v>
      </c>
      <c r="T300" s="20" t="str">
        <f t="shared" si="1221"/>
        <v/>
      </c>
      <c r="U300" s="40" t="str">
        <f t="shared" si="1222"/>
        <v/>
      </c>
      <c r="V300" s="109"/>
      <c r="W300" s="110">
        <v>75</v>
      </c>
      <c r="X300" s="20" t="str">
        <f>IFERROR(($N$30-N300)/W300,"")</f>
        <v/>
      </c>
      <c r="Y300" s="15" t="str">
        <f>IFERROR(($O$30-O300)/W300,"")</f>
        <v/>
      </c>
      <c r="Z300" s="15" t="str">
        <f>IFERROR(($P$30-P300)/W300,"")</f>
        <v/>
      </c>
      <c r="AA300" s="15" t="str">
        <f>IFERROR(($Q$21-Q300)/W300,"")</f>
        <v/>
      </c>
      <c r="AB300" s="17" t="str">
        <f>IFERROR(($R$30-R300)/W300,"")</f>
        <v/>
      </c>
      <c r="AC300" s="15" t="str">
        <f>IFERROR(($S$30-S300)/W300,"")</f>
        <v/>
      </c>
      <c r="AD300" s="20" t="str">
        <f>IFERROR(AVERAGE(X300:AC300), "")</f>
        <v/>
      </c>
      <c r="AE300" s="40" t="str">
        <f t="shared" si="1336"/>
        <v/>
      </c>
      <c r="AG300" s="230"/>
      <c r="AH300" s="77">
        <f>'Sample ID'!$F$21</f>
        <v>0</v>
      </c>
      <c r="AI300" s="77" t="str">
        <f>IFERROR((X300*$AH$48),"")</f>
        <v/>
      </c>
      <c r="AJ300" s="77" t="str">
        <f t="shared" ref="AJ300" si="1358">IFERROR((Y300*$AH$48),"")</f>
        <v/>
      </c>
      <c r="AK300" s="77" t="str">
        <f t="shared" ref="AK300" si="1359">IFERROR((Z300*$AH$48),"")</f>
        <v/>
      </c>
      <c r="AL300" s="77" t="str">
        <f t="shared" ref="AL300" si="1360">IFERROR((AA300*$AH$48),"")</f>
        <v/>
      </c>
      <c r="AM300" s="77" t="str">
        <f t="shared" ref="AM300" si="1361">IFERROR((AB300*$AH$48),"")</f>
        <v/>
      </c>
      <c r="AN300" s="77" t="str">
        <f t="shared" ref="AN300" si="1362">IFERROR((AC300*$AH$48),"")</f>
        <v/>
      </c>
      <c r="AO300" s="40" t="str">
        <f t="shared" si="1329"/>
        <v/>
      </c>
      <c r="AP300" s="40" t="str">
        <f t="shared" si="1342"/>
        <v/>
      </c>
      <c r="AQ300" s="15"/>
      <c r="AR300" s="15"/>
    </row>
    <row r="301" spans="3:44">
      <c r="C301" s="232">
        <v>80</v>
      </c>
      <c r="D301" s="50"/>
      <c r="E301" s="58">
        <v>1</v>
      </c>
      <c r="F301" s="58">
        <v>2</v>
      </c>
      <c r="G301" s="59">
        <v>3</v>
      </c>
      <c r="H301" s="56">
        <v>4</v>
      </c>
      <c r="I301" s="56">
        <v>5</v>
      </c>
      <c r="J301" s="57">
        <v>6</v>
      </c>
      <c r="K301" s="27"/>
      <c r="L301" s="232">
        <v>80</v>
      </c>
      <c r="M301" s="38"/>
      <c r="N301" s="59">
        <v>1</v>
      </c>
      <c r="O301" s="38">
        <v>2</v>
      </c>
      <c r="P301" s="38">
        <v>3</v>
      </c>
      <c r="Q301" s="38">
        <v>4</v>
      </c>
      <c r="R301" s="38">
        <v>5</v>
      </c>
      <c r="S301" s="50">
        <v>6</v>
      </c>
      <c r="T301" s="38" t="s">
        <v>24</v>
      </c>
      <c r="U301" s="51" t="s">
        <v>3</v>
      </c>
      <c r="V301" s="109"/>
      <c r="W301" s="38" t="s">
        <v>34</v>
      </c>
      <c r="X301" s="38">
        <v>1</v>
      </c>
      <c r="Y301" s="38">
        <v>2</v>
      </c>
      <c r="Z301" s="38">
        <v>3</v>
      </c>
      <c r="AA301" s="38">
        <v>4</v>
      </c>
      <c r="AB301" s="38">
        <v>5</v>
      </c>
      <c r="AC301" s="50">
        <v>6</v>
      </c>
      <c r="AD301" s="50" t="s">
        <v>49</v>
      </c>
      <c r="AE301" s="51" t="s">
        <v>3</v>
      </c>
      <c r="AF301" s="69"/>
      <c r="AG301" s="231">
        <v>80</v>
      </c>
      <c r="AH301" s="38" t="s">
        <v>35</v>
      </c>
      <c r="AI301" s="38"/>
      <c r="AJ301" s="38"/>
      <c r="AK301" s="38"/>
      <c r="AL301" s="38"/>
      <c r="AM301" s="38"/>
      <c r="AN301" s="38"/>
      <c r="AO301" s="52" t="s">
        <v>36</v>
      </c>
      <c r="AP301" s="51" t="s">
        <v>3</v>
      </c>
      <c r="AQ301" s="15"/>
      <c r="AR301" s="15"/>
    </row>
    <row r="302" spans="3:44">
      <c r="C302" s="232"/>
      <c r="D302" s="21" t="s">
        <v>16</v>
      </c>
      <c r="E302" s="22">
        <f>Data!B207</f>
        <v>0</v>
      </c>
      <c r="F302" s="22">
        <f>Data!C207</f>
        <v>0</v>
      </c>
      <c r="G302" s="22">
        <f>Data!D207</f>
        <v>0</v>
      </c>
      <c r="H302" s="22">
        <f>Data!E207</f>
        <v>0</v>
      </c>
      <c r="I302" s="22">
        <f>Data!F207</f>
        <v>0</v>
      </c>
      <c r="J302" s="22">
        <f>Data!G207</f>
        <v>0</v>
      </c>
      <c r="K302" s="22"/>
      <c r="L302" s="232"/>
      <c r="M302" s="130" t="s">
        <v>16</v>
      </c>
      <c r="N302" s="15" t="str">
        <f t="shared" ref="N302:S309" si="1363">IF(((E302-$P$11)/$P$10)&gt;0,((E302-$P$11)/$P$10)," ")</f>
        <v xml:space="preserve"> </v>
      </c>
      <c r="O302" s="15" t="str">
        <f t="shared" si="1363"/>
        <v xml:space="preserve"> </v>
      </c>
      <c r="P302" s="15" t="str">
        <f t="shared" si="1363"/>
        <v xml:space="preserve"> </v>
      </c>
      <c r="Q302" s="15" t="str">
        <f t="shared" si="1363"/>
        <v xml:space="preserve"> </v>
      </c>
      <c r="R302" s="15" t="str">
        <f t="shared" si="1363"/>
        <v xml:space="preserve"> </v>
      </c>
      <c r="S302" s="15" t="str">
        <f t="shared" si="1363"/>
        <v xml:space="preserve"> </v>
      </c>
      <c r="T302" s="20" t="str">
        <f t="shared" si="1221"/>
        <v/>
      </c>
      <c r="U302" s="40" t="str">
        <f t="shared" si="1222"/>
        <v/>
      </c>
      <c r="V302" s="109"/>
      <c r="W302" s="110">
        <v>80</v>
      </c>
      <c r="X302" s="20" t="str">
        <f>IFERROR(($N$14-N302)/W302,"")</f>
        <v/>
      </c>
      <c r="Y302" s="15" t="str">
        <f>IFERROR(($O$14-O302)/W302,"")</f>
        <v/>
      </c>
      <c r="Z302" s="15" t="str">
        <f>IFERROR(($P$14-P302)/W302,"")</f>
        <v/>
      </c>
      <c r="AA302" s="15" t="str">
        <f>IFERROR(($Q$14-Q302)/W302,"")</f>
        <v/>
      </c>
      <c r="AB302" s="15" t="str">
        <f>IFERROR(($R$14-R302)/W302,"")</f>
        <v/>
      </c>
      <c r="AC302" s="15" t="str">
        <f>IFERROR(($S$14-S302)/W302,"")</f>
        <v/>
      </c>
      <c r="AD302" s="20" t="str">
        <f>IFERROR(AVERAGE(X302:AC302), "")</f>
        <v/>
      </c>
      <c r="AE302" s="40" t="str">
        <f>IFERROR(STDEV(X302:AC302), "")</f>
        <v/>
      </c>
      <c r="AG302" s="229"/>
      <c r="AH302" s="76">
        <f>'Sample ID'!$F$6</f>
        <v>1</v>
      </c>
      <c r="AI302" s="77" t="str">
        <f>IFERROR((X302*$AH$32),"")</f>
        <v/>
      </c>
      <c r="AJ302" s="77" t="str">
        <f t="shared" ref="AJ302" si="1364">IFERROR((Y302*$AH$32),"")</f>
        <v/>
      </c>
      <c r="AK302" s="77" t="str">
        <f t="shared" ref="AK302" si="1365">IFERROR((Z302*$AH$32),"")</f>
        <v/>
      </c>
      <c r="AL302" s="77" t="str">
        <f t="shared" ref="AL302" si="1366">IFERROR((AA302*$AH$32),"")</f>
        <v/>
      </c>
      <c r="AM302" s="77" t="str">
        <f t="shared" ref="AM302" si="1367">IFERROR((AB302*$AH$32),"")</f>
        <v/>
      </c>
      <c r="AN302" s="77" t="str">
        <f t="shared" ref="AN302" si="1368">IFERROR((AC302*$AH$32),"")</f>
        <v/>
      </c>
      <c r="AO302" s="40" t="str">
        <f>IFERROR(AVERAGE(AI302:AN302),"")</f>
        <v/>
      </c>
      <c r="AP302" s="40" t="str">
        <f>IFERROR(STDEV(AI302:AN302), "")</f>
        <v/>
      </c>
      <c r="AQ302" s="15"/>
      <c r="AR302" s="15"/>
    </row>
    <row r="303" spans="3:44">
      <c r="C303" s="232"/>
      <c r="D303" s="21" t="s">
        <v>17</v>
      </c>
      <c r="E303" s="22">
        <f>Data!B208</f>
        <v>0</v>
      </c>
      <c r="F303" s="22">
        <f>Data!C208</f>
        <v>0</v>
      </c>
      <c r="G303" s="22">
        <f>Data!D208</f>
        <v>0</v>
      </c>
      <c r="H303" s="22">
        <f>Data!E208</f>
        <v>0</v>
      </c>
      <c r="I303" s="22">
        <f>Data!F208</f>
        <v>0</v>
      </c>
      <c r="J303" s="22">
        <f>Data!G208</f>
        <v>0</v>
      </c>
      <c r="K303" s="22"/>
      <c r="L303" s="232"/>
      <c r="M303" s="130" t="s">
        <v>17</v>
      </c>
      <c r="N303" s="15" t="str">
        <f t="shared" si="1363"/>
        <v xml:space="preserve"> </v>
      </c>
      <c r="O303" s="15" t="str">
        <f t="shared" si="1363"/>
        <v xml:space="preserve"> </v>
      </c>
      <c r="P303" s="15" t="str">
        <f t="shared" si="1363"/>
        <v xml:space="preserve"> </v>
      </c>
      <c r="Q303" s="15" t="str">
        <f t="shared" si="1363"/>
        <v xml:space="preserve"> </v>
      </c>
      <c r="R303" s="15" t="str">
        <f t="shared" si="1363"/>
        <v xml:space="preserve"> </v>
      </c>
      <c r="S303" s="15" t="str">
        <f t="shared" si="1363"/>
        <v xml:space="preserve"> </v>
      </c>
      <c r="T303" s="20" t="str">
        <f t="shared" si="1221"/>
        <v/>
      </c>
      <c r="U303" s="40" t="str">
        <f t="shared" si="1222"/>
        <v/>
      </c>
      <c r="V303" s="109"/>
      <c r="W303" s="110">
        <v>80</v>
      </c>
      <c r="X303" s="20" t="str">
        <f>IFERROR(($N$15-N303)/W303,"")</f>
        <v/>
      </c>
      <c r="Y303" s="15" t="str">
        <f>IFERROR(($O$15-O303)/W303,"")</f>
        <v/>
      </c>
      <c r="Z303" s="15" t="str">
        <f>IFERROR(($P$15-P303)/W303,"")</f>
        <v/>
      </c>
      <c r="AA303" s="15" t="str">
        <f>IFERROR(($Q$15-Q303)/W303,"")</f>
        <v/>
      </c>
      <c r="AB303" s="15" t="str">
        <f>IFERROR(($R$15-R303)/W303,"")</f>
        <v/>
      </c>
      <c r="AC303" s="15" t="str">
        <f>IFERROR(($S$15-S303)/W303,"")</f>
        <v/>
      </c>
      <c r="AD303" s="20" t="str">
        <f>IFERROR(AVERAGE(X303:AC303), "")</f>
        <v/>
      </c>
      <c r="AE303" s="40" t="str">
        <f>IFERROR(STDEV(X303:AC303), "")</f>
        <v/>
      </c>
      <c r="AG303" s="229"/>
      <c r="AH303" s="77">
        <f>'Sample ID'!$F$7</f>
        <v>1</v>
      </c>
      <c r="AI303" s="77" t="str">
        <f>IFERROR((X303*$AH$33),"")</f>
        <v/>
      </c>
      <c r="AJ303" s="77" t="str">
        <f t="shared" ref="AJ303" si="1369">IFERROR((Y303*$AH$33),"")</f>
        <v/>
      </c>
      <c r="AK303" s="77" t="str">
        <f t="shared" ref="AK303" si="1370">IFERROR((Z303*$AH$33),"")</f>
        <v/>
      </c>
      <c r="AL303" s="77" t="str">
        <f t="shared" ref="AL303" si="1371">IFERROR((AA303*$AH$33),"")</f>
        <v/>
      </c>
      <c r="AM303" s="77" t="str">
        <f t="shared" ref="AM303" si="1372">IFERROR((AB303*$AH$33),"")</f>
        <v/>
      </c>
      <c r="AN303" s="77" t="str">
        <f t="shared" ref="AN303" si="1373">IFERROR((AC303*$AH$33),"")</f>
        <v/>
      </c>
      <c r="AO303" s="40" t="str">
        <f t="shared" ref="AO303:AO309" si="1374">IFERROR(AVERAGE(AI303:AN303),"")</f>
        <v/>
      </c>
      <c r="AP303" s="40" t="str">
        <f>IFERROR(STDEV(AI303:AN303), "")</f>
        <v/>
      </c>
      <c r="AQ303" s="15"/>
      <c r="AR303" s="15"/>
    </row>
    <row r="304" spans="3:44">
      <c r="C304" s="232"/>
      <c r="D304" s="21" t="s">
        <v>18</v>
      </c>
      <c r="E304" s="22">
        <f>Data!B209</f>
        <v>0</v>
      </c>
      <c r="F304" s="22">
        <f>Data!C209</f>
        <v>0</v>
      </c>
      <c r="G304" s="22">
        <f>Data!D209</f>
        <v>0</v>
      </c>
      <c r="H304" s="22">
        <f>Data!E209</f>
        <v>0</v>
      </c>
      <c r="I304" s="22">
        <f>Data!F209</f>
        <v>0</v>
      </c>
      <c r="J304" s="22">
        <f>Data!G209</f>
        <v>0</v>
      </c>
      <c r="K304" s="22"/>
      <c r="L304" s="232"/>
      <c r="M304" s="130" t="s">
        <v>18</v>
      </c>
      <c r="N304" s="15" t="str">
        <f t="shared" si="1363"/>
        <v xml:space="preserve"> </v>
      </c>
      <c r="O304" s="15" t="str">
        <f t="shared" si="1363"/>
        <v xml:space="preserve"> </v>
      </c>
      <c r="P304" s="15" t="str">
        <f t="shared" si="1363"/>
        <v xml:space="preserve"> </v>
      </c>
      <c r="Q304" s="15" t="str">
        <f t="shared" si="1363"/>
        <v xml:space="preserve"> </v>
      </c>
      <c r="R304" s="15" t="str">
        <f t="shared" si="1363"/>
        <v xml:space="preserve"> </v>
      </c>
      <c r="S304" s="15" t="str">
        <f t="shared" si="1363"/>
        <v xml:space="preserve"> </v>
      </c>
      <c r="T304" s="20" t="str">
        <f t="shared" ref="T304:T336" si="1375">IFERROR(AVERAGE(N304:S304),"")</f>
        <v/>
      </c>
      <c r="U304" s="40" t="str">
        <f t="shared" ref="U304:U336" si="1376">IFERROR(STDEV(N304:S304),"")</f>
        <v/>
      </c>
      <c r="V304" s="109"/>
      <c r="W304" s="110">
        <v>80</v>
      </c>
      <c r="X304" s="20" t="str">
        <f>IFERROR(($N$16-N304)/W304,"")</f>
        <v/>
      </c>
      <c r="Y304" s="15" t="str">
        <f>IFERROR(($O$16-O304)/W304,"")</f>
        <v/>
      </c>
      <c r="Z304" s="15" t="str">
        <f>IFERROR(($P$16-P304)/W304,"")</f>
        <v/>
      </c>
      <c r="AA304" s="15" t="str">
        <f>IFERROR(($Q$16-Q304)/W304,"")</f>
        <v/>
      </c>
      <c r="AB304" s="15" t="str">
        <f>IFERROR(($R$16-R304)/W304,"")</f>
        <v/>
      </c>
      <c r="AC304" s="15" t="str">
        <f>IFERROR(($S$16-S304)/W304,"")</f>
        <v/>
      </c>
      <c r="AD304" s="20" t="str">
        <f>IFERROR(AVERAGE(X304:AC304), "")</f>
        <v/>
      </c>
      <c r="AE304" s="40" t="str">
        <f t="shared" ref="AE304:AE309" si="1377">IFERROR(STDEV(X304:AC304), "")</f>
        <v/>
      </c>
      <c r="AG304" s="229"/>
      <c r="AH304" s="77">
        <f>'Sample ID'!$F$8</f>
        <v>1</v>
      </c>
      <c r="AI304" s="77" t="str">
        <f>IFERROR((X304*$AH$34),"")</f>
        <v/>
      </c>
      <c r="AJ304" s="77" t="str">
        <f t="shared" ref="AJ304" si="1378">IFERROR((Y304*$AH$34),"")</f>
        <v/>
      </c>
      <c r="AK304" s="77" t="str">
        <f t="shared" ref="AK304" si="1379">IFERROR((Z304*$AH$34),"")</f>
        <v/>
      </c>
      <c r="AL304" s="77" t="str">
        <f t="shared" ref="AL304" si="1380">IFERROR((AA304*$AH$34),"")</f>
        <v/>
      </c>
      <c r="AM304" s="77" t="str">
        <f t="shared" ref="AM304" si="1381">IFERROR((AB304*$AH$34),"")</f>
        <v/>
      </c>
      <c r="AN304" s="77" t="str">
        <f t="shared" ref="AN304" si="1382">IFERROR((AC304*$AH$34),"")</f>
        <v/>
      </c>
      <c r="AO304" s="40" t="str">
        <f t="shared" si="1374"/>
        <v/>
      </c>
      <c r="AP304" s="40" t="str">
        <f t="shared" ref="AP304:AP309" si="1383">IFERROR(STDEV(AI304:AN304), "")</f>
        <v/>
      </c>
      <c r="AQ304" s="15"/>
      <c r="AR304" s="15"/>
    </row>
    <row r="305" spans="3:44">
      <c r="C305" s="232"/>
      <c r="D305" s="21" t="s">
        <v>19</v>
      </c>
      <c r="E305" s="22">
        <f>Data!B210</f>
        <v>0</v>
      </c>
      <c r="F305" s="22">
        <f>Data!C210</f>
        <v>0</v>
      </c>
      <c r="G305" s="22">
        <f>Data!D210</f>
        <v>0</v>
      </c>
      <c r="H305" s="22">
        <f>Data!E210</f>
        <v>0</v>
      </c>
      <c r="I305" s="22">
        <f>Data!F210</f>
        <v>0</v>
      </c>
      <c r="J305" s="22">
        <f>Data!G210</f>
        <v>0</v>
      </c>
      <c r="K305" s="22"/>
      <c r="L305" s="232"/>
      <c r="M305" s="130" t="s">
        <v>19</v>
      </c>
      <c r="N305" s="15" t="str">
        <f t="shared" si="1363"/>
        <v xml:space="preserve"> </v>
      </c>
      <c r="O305" s="15" t="str">
        <f t="shared" si="1363"/>
        <v xml:space="preserve"> </v>
      </c>
      <c r="P305" s="15" t="str">
        <f t="shared" si="1363"/>
        <v xml:space="preserve"> </v>
      </c>
      <c r="Q305" s="15" t="str">
        <f t="shared" si="1363"/>
        <v xml:space="preserve"> </v>
      </c>
      <c r="R305" s="15" t="str">
        <f t="shared" si="1363"/>
        <v xml:space="preserve"> </v>
      </c>
      <c r="S305" s="15" t="str">
        <f t="shared" si="1363"/>
        <v xml:space="preserve"> </v>
      </c>
      <c r="T305" s="20" t="str">
        <f t="shared" si="1375"/>
        <v/>
      </c>
      <c r="U305" s="40" t="str">
        <f t="shared" si="1376"/>
        <v/>
      </c>
      <c r="V305" s="109"/>
      <c r="W305" s="110">
        <v>80</v>
      </c>
      <c r="X305" s="20" t="str">
        <f>IFERROR(($N$17-N305)/W305,"")</f>
        <v/>
      </c>
      <c r="Y305" s="15" t="str">
        <f>IFERROR(($O$17-O305)/W305,"")</f>
        <v/>
      </c>
      <c r="Z305" s="15" t="str">
        <f>IFERROR(($P$17-P305)/W305,"")</f>
        <v/>
      </c>
      <c r="AA305" s="15" t="str">
        <f>IFERROR(($Q$17-Q305)/W305,"")</f>
        <v/>
      </c>
      <c r="AB305" s="15" t="str">
        <f>IFERROR(($R$17-R305)/W305,"")</f>
        <v/>
      </c>
      <c r="AC305" s="15" t="str">
        <f>IFERROR(($S$17-S305)/W305,"")</f>
        <v/>
      </c>
      <c r="AD305" s="20" t="str">
        <f t="shared" ref="AD305:AD309" si="1384">IFERROR(AVERAGE(X305:AC305), "")</f>
        <v/>
      </c>
      <c r="AE305" s="40" t="str">
        <f t="shared" si="1377"/>
        <v/>
      </c>
      <c r="AG305" s="229"/>
      <c r="AH305" s="77">
        <f>'Sample ID'!$F$9</f>
        <v>1</v>
      </c>
      <c r="AI305" s="77" t="str">
        <f>IFERROR((X305*$AH$35),"")</f>
        <v/>
      </c>
      <c r="AJ305" s="77" t="str">
        <f t="shared" ref="AJ305" si="1385">IFERROR((Y305*$AH$35),"")</f>
        <v/>
      </c>
      <c r="AK305" s="77" t="str">
        <f t="shared" ref="AK305" si="1386">IFERROR((Z305*$AH$35),"")</f>
        <v/>
      </c>
      <c r="AL305" s="77" t="str">
        <f t="shared" ref="AL305" si="1387">IFERROR((AA305*$AH$35),"")</f>
        <v/>
      </c>
      <c r="AM305" s="77" t="str">
        <f t="shared" ref="AM305" si="1388">IFERROR((AB305*$AH$35),"")</f>
        <v/>
      </c>
      <c r="AN305" s="77" t="str">
        <f t="shared" ref="AN305" si="1389">IFERROR((AC305*$AH$35),"")</f>
        <v/>
      </c>
      <c r="AO305" s="40" t="str">
        <f t="shared" si="1374"/>
        <v/>
      </c>
      <c r="AP305" s="40" t="str">
        <f t="shared" si="1383"/>
        <v/>
      </c>
      <c r="AQ305" s="15"/>
      <c r="AR305" s="15"/>
    </row>
    <row r="306" spans="3:44">
      <c r="C306" s="232"/>
      <c r="D306" s="21" t="s">
        <v>20</v>
      </c>
      <c r="E306" s="22">
        <f>Data!B211</f>
        <v>0</v>
      </c>
      <c r="F306" s="22">
        <f>Data!C211</f>
        <v>0</v>
      </c>
      <c r="G306" s="22">
        <f>Data!D211</f>
        <v>0</v>
      </c>
      <c r="H306" s="22">
        <f>Data!E211</f>
        <v>0</v>
      </c>
      <c r="I306" s="22">
        <f>Data!F211</f>
        <v>0</v>
      </c>
      <c r="J306" s="22">
        <f>Data!G211</f>
        <v>0</v>
      </c>
      <c r="K306" s="22"/>
      <c r="L306" s="232"/>
      <c r="M306" s="130" t="s">
        <v>20</v>
      </c>
      <c r="N306" s="15" t="str">
        <f t="shared" si="1363"/>
        <v xml:space="preserve"> </v>
      </c>
      <c r="O306" s="15" t="str">
        <f t="shared" si="1363"/>
        <v xml:space="preserve"> </v>
      </c>
      <c r="P306" s="15" t="str">
        <f t="shared" si="1363"/>
        <v xml:space="preserve"> </v>
      </c>
      <c r="Q306" s="15" t="str">
        <f t="shared" si="1363"/>
        <v xml:space="preserve"> </v>
      </c>
      <c r="R306" s="15" t="str">
        <f t="shared" si="1363"/>
        <v xml:space="preserve"> </v>
      </c>
      <c r="S306" s="15" t="str">
        <f t="shared" si="1363"/>
        <v xml:space="preserve"> </v>
      </c>
      <c r="T306" s="20" t="str">
        <f t="shared" si="1375"/>
        <v/>
      </c>
      <c r="U306" s="40" t="str">
        <f t="shared" si="1376"/>
        <v/>
      </c>
      <c r="V306" s="109"/>
      <c r="W306" s="110">
        <v>80</v>
      </c>
      <c r="X306" s="20" t="str">
        <f>IFERROR(($N$18-N306)/W306,"")</f>
        <v/>
      </c>
      <c r="Y306" s="15" t="str">
        <f>IFERROR(($O$18-O306)/W306,"")</f>
        <v/>
      </c>
      <c r="Z306" s="15" t="str">
        <f>IFERROR(($P$18-P306)/W306,"")</f>
        <v/>
      </c>
      <c r="AA306" s="15" t="str">
        <f>IFERROR(($Q$18-Q306)/W306,"")</f>
        <v/>
      </c>
      <c r="AB306" s="15" t="str">
        <f>IFERROR(($R$18-R306)/W306,"")</f>
        <v/>
      </c>
      <c r="AC306" s="15" t="str">
        <f>IFERROR(($S$18-S306)/W306,"")</f>
        <v/>
      </c>
      <c r="AD306" s="20" t="str">
        <f t="shared" si="1384"/>
        <v/>
      </c>
      <c r="AE306" s="40" t="str">
        <f t="shared" si="1377"/>
        <v/>
      </c>
      <c r="AG306" s="229"/>
      <c r="AH306" s="77">
        <f>'Sample ID'!$F$10</f>
        <v>1</v>
      </c>
      <c r="AI306" s="77" t="str">
        <f>IFERROR((X306*$AH$36),"")</f>
        <v/>
      </c>
      <c r="AJ306" s="77" t="str">
        <f t="shared" ref="AJ306" si="1390">IFERROR((Y306*$AH$36),"")</f>
        <v/>
      </c>
      <c r="AK306" s="77" t="str">
        <f t="shared" ref="AK306" si="1391">IFERROR((Z306*$AH$36),"")</f>
        <v/>
      </c>
      <c r="AL306" s="77" t="str">
        <f t="shared" ref="AL306" si="1392">IFERROR((AA306*$AH$36),"")</f>
        <v/>
      </c>
      <c r="AM306" s="77" t="str">
        <f t="shared" ref="AM306" si="1393">IFERROR((AB306*$AH$36),"")</f>
        <v/>
      </c>
      <c r="AN306" s="77" t="str">
        <f t="shared" ref="AN306" si="1394">IFERROR((AC306*$AH$36),"")</f>
        <v/>
      </c>
      <c r="AO306" s="40" t="str">
        <f t="shared" si="1374"/>
        <v/>
      </c>
      <c r="AP306" s="40" t="str">
        <f t="shared" si="1383"/>
        <v/>
      </c>
      <c r="AQ306" s="15"/>
      <c r="AR306" s="15"/>
    </row>
    <row r="307" spans="3:44">
      <c r="C307" s="232"/>
      <c r="D307" s="21" t="s">
        <v>21</v>
      </c>
      <c r="E307" s="22">
        <f>Data!B212</f>
        <v>0</v>
      </c>
      <c r="F307" s="22">
        <f>Data!C212</f>
        <v>0</v>
      </c>
      <c r="G307" s="22">
        <f>Data!D212</f>
        <v>0</v>
      </c>
      <c r="H307" s="22">
        <f>Data!E212</f>
        <v>0</v>
      </c>
      <c r="I307" s="22">
        <f>Data!F212</f>
        <v>0</v>
      </c>
      <c r="J307" s="22">
        <f>Data!G212</f>
        <v>0</v>
      </c>
      <c r="K307" s="22"/>
      <c r="L307" s="232"/>
      <c r="M307" s="130" t="s">
        <v>21</v>
      </c>
      <c r="N307" s="15" t="str">
        <f t="shared" si="1363"/>
        <v xml:space="preserve"> </v>
      </c>
      <c r="O307" s="15" t="str">
        <f t="shared" si="1363"/>
        <v xml:space="preserve"> </v>
      </c>
      <c r="P307" s="15" t="str">
        <f t="shared" si="1363"/>
        <v xml:space="preserve"> </v>
      </c>
      <c r="Q307" s="15" t="str">
        <f t="shared" si="1363"/>
        <v xml:space="preserve"> </v>
      </c>
      <c r="R307" s="15" t="str">
        <f t="shared" si="1363"/>
        <v xml:space="preserve"> </v>
      </c>
      <c r="S307" s="15" t="str">
        <f t="shared" si="1363"/>
        <v xml:space="preserve"> </v>
      </c>
      <c r="T307" s="20" t="str">
        <f t="shared" si="1375"/>
        <v/>
      </c>
      <c r="U307" s="40" t="str">
        <f t="shared" si="1376"/>
        <v/>
      </c>
      <c r="V307" s="109"/>
      <c r="W307" s="110">
        <v>80</v>
      </c>
      <c r="X307" s="20" t="str">
        <f>IFERROR(($N$19-N307)/W307,"")</f>
        <v/>
      </c>
      <c r="Y307" s="15" t="str">
        <f>IFERROR(($O$19-O307)/W307,"")</f>
        <v/>
      </c>
      <c r="Z307" s="15" t="str">
        <f>IFERROR(($P$19-P307)/W307,"")</f>
        <v/>
      </c>
      <c r="AA307" s="15" t="str">
        <f>IFERROR(($Q$19-Q307)/W307,"")</f>
        <v/>
      </c>
      <c r="AB307" s="15" t="str">
        <f>IFERROR(($R$19-R307)/W307,"")</f>
        <v/>
      </c>
      <c r="AC307" s="15" t="str">
        <f>IFERROR(($S$19-S307)/W307,"")</f>
        <v/>
      </c>
      <c r="AD307" s="20" t="str">
        <f t="shared" si="1384"/>
        <v/>
      </c>
      <c r="AE307" s="40" t="str">
        <f t="shared" si="1377"/>
        <v/>
      </c>
      <c r="AG307" s="229"/>
      <c r="AH307" s="77">
        <f>'Sample ID'!$F$11</f>
        <v>0</v>
      </c>
      <c r="AI307" s="77" t="str">
        <f>IFERROR((X307*$AH$37),"")</f>
        <v/>
      </c>
      <c r="AJ307" s="77" t="str">
        <f t="shared" ref="AJ307" si="1395">IFERROR((Y307*$AH$37),"")</f>
        <v/>
      </c>
      <c r="AK307" s="77" t="str">
        <f t="shared" ref="AK307" si="1396">IFERROR((Z307*$AH$37),"")</f>
        <v/>
      </c>
      <c r="AL307" s="77" t="str">
        <f t="shared" ref="AL307" si="1397">IFERROR((AA307*$AH$37),"")</f>
        <v/>
      </c>
      <c r="AM307" s="77" t="str">
        <f t="shared" ref="AM307" si="1398">IFERROR((AB307*$AH$37),"")</f>
        <v/>
      </c>
      <c r="AN307" s="77" t="str">
        <f t="shared" ref="AN307" si="1399">IFERROR((AC307*$AH$37),"")</f>
        <v/>
      </c>
      <c r="AO307" s="40" t="str">
        <f t="shared" si="1374"/>
        <v/>
      </c>
      <c r="AP307" s="40" t="str">
        <f t="shared" si="1383"/>
        <v/>
      </c>
      <c r="AQ307" s="15"/>
      <c r="AR307" s="15"/>
    </row>
    <row r="308" spans="3:44">
      <c r="C308" s="232"/>
      <c r="D308" s="21" t="s">
        <v>22</v>
      </c>
      <c r="E308" s="22">
        <f>Data!B213</f>
        <v>0</v>
      </c>
      <c r="F308" s="22">
        <f>Data!C213</f>
        <v>0</v>
      </c>
      <c r="G308" s="22">
        <f>Data!D213</f>
        <v>0</v>
      </c>
      <c r="H308" s="22">
        <f>Data!E213</f>
        <v>0</v>
      </c>
      <c r="I308" s="22">
        <f>Data!F213</f>
        <v>0</v>
      </c>
      <c r="J308" s="22">
        <f>Data!G213</f>
        <v>0</v>
      </c>
      <c r="K308" s="22"/>
      <c r="L308" s="232"/>
      <c r="M308" s="130" t="s">
        <v>22</v>
      </c>
      <c r="N308" s="15" t="str">
        <f t="shared" si="1363"/>
        <v xml:space="preserve"> </v>
      </c>
      <c r="O308" s="15" t="str">
        <f t="shared" si="1363"/>
        <v xml:space="preserve"> </v>
      </c>
      <c r="P308" s="15" t="str">
        <f t="shared" si="1363"/>
        <v xml:space="preserve"> </v>
      </c>
      <c r="Q308" s="15" t="str">
        <f t="shared" si="1363"/>
        <v xml:space="preserve"> </v>
      </c>
      <c r="R308" s="15" t="str">
        <f t="shared" si="1363"/>
        <v xml:space="preserve"> </v>
      </c>
      <c r="S308" s="15" t="str">
        <f t="shared" si="1363"/>
        <v xml:space="preserve"> </v>
      </c>
      <c r="T308" s="20" t="str">
        <f t="shared" si="1375"/>
        <v/>
      </c>
      <c r="U308" s="40" t="str">
        <f t="shared" si="1376"/>
        <v/>
      </c>
      <c r="V308" s="109"/>
      <c r="W308" s="110">
        <v>80</v>
      </c>
      <c r="X308" s="20" t="str">
        <f>IFERROR(($N$20-N308)/W308,"")</f>
        <v/>
      </c>
      <c r="Y308" s="15" t="str">
        <f>IFERROR(($O$20-O308)/W308,"")</f>
        <v/>
      </c>
      <c r="Z308" s="15" t="str">
        <f>IFERROR(($P$20-P308)/W308,"")</f>
        <v/>
      </c>
      <c r="AA308" s="15" t="str">
        <f>IFERROR(($Q$20-Q308)/W308,"")</f>
        <v/>
      </c>
      <c r="AB308" s="15" t="str">
        <f>IFERROR(($R$20-R308)/W308,"")</f>
        <v/>
      </c>
      <c r="AC308" s="15" t="str">
        <f>IFERROR(($S$20-S308)/W308,"")</f>
        <v/>
      </c>
      <c r="AD308" s="20" t="str">
        <f t="shared" si="1384"/>
        <v/>
      </c>
      <c r="AE308" s="40" t="str">
        <f t="shared" si="1377"/>
        <v/>
      </c>
      <c r="AG308" s="229"/>
      <c r="AH308" s="77">
        <f>'Sample ID'!$F$12</f>
        <v>0</v>
      </c>
      <c r="AI308" s="77" t="str">
        <f>IFERROR((X308*$AH$38),"")</f>
        <v/>
      </c>
      <c r="AJ308" s="77" t="str">
        <f t="shared" ref="AJ308" si="1400">IFERROR((Y308*$AH$38),"")</f>
        <v/>
      </c>
      <c r="AK308" s="77" t="str">
        <f t="shared" ref="AK308" si="1401">IFERROR((Z308*$AH$38),"")</f>
        <v/>
      </c>
      <c r="AL308" s="77" t="str">
        <f t="shared" ref="AL308" si="1402">IFERROR((AA308*$AH$38),"")</f>
        <v/>
      </c>
      <c r="AM308" s="77" t="str">
        <f t="shared" ref="AM308" si="1403">IFERROR((AB308*$AH$38),"")</f>
        <v/>
      </c>
      <c r="AN308" s="77" t="str">
        <f t="shared" ref="AN308" si="1404">IFERROR((AC308*$AH$38),"")</f>
        <v/>
      </c>
      <c r="AO308" s="40" t="str">
        <f t="shared" si="1374"/>
        <v/>
      </c>
      <c r="AP308" s="40" t="str">
        <f t="shared" si="1383"/>
        <v/>
      </c>
      <c r="AQ308" s="15"/>
      <c r="AR308" s="15"/>
    </row>
    <row r="309" spans="3:44">
      <c r="C309" s="232"/>
      <c r="D309" s="21" t="s">
        <v>23</v>
      </c>
      <c r="E309" s="22">
        <f>Data!B214</f>
        <v>0</v>
      </c>
      <c r="F309" s="22">
        <f>Data!C214</f>
        <v>0</v>
      </c>
      <c r="G309" s="22">
        <f>Data!D214</f>
        <v>0</v>
      </c>
      <c r="H309" s="22">
        <f>Data!E214</f>
        <v>0</v>
      </c>
      <c r="I309" s="22">
        <f>Data!F214</f>
        <v>0</v>
      </c>
      <c r="J309" s="22">
        <f>Data!G214</f>
        <v>0</v>
      </c>
      <c r="K309" s="22"/>
      <c r="L309" s="232"/>
      <c r="M309" s="130" t="s">
        <v>23</v>
      </c>
      <c r="N309" s="15" t="str">
        <f t="shared" si="1363"/>
        <v xml:space="preserve"> </v>
      </c>
      <c r="O309" s="15" t="str">
        <f t="shared" si="1363"/>
        <v xml:space="preserve"> </v>
      </c>
      <c r="P309" s="15" t="str">
        <f t="shared" si="1363"/>
        <v xml:space="preserve"> </v>
      </c>
      <c r="Q309" s="15" t="str">
        <f t="shared" si="1363"/>
        <v xml:space="preserve"> </v>
      </c>
      <c r="R309" s="15" t="str">
        <f t="shared" si="1363"/>
        <v xml:space="preserve"> </v>
      </c>
      <c r="S309" s="15" t="str">
        <f t="shared" si="1363"/>
        <v xml:space="preserve"> </v>
      </c>
      <c r="T309" s="20" t="str">
        <f t="shared" si="1375"/>
        <v/>
      </c>
      <c r="U309" s="40" t="str">
        <f t="shared" si="1376"/>
        <v/>
      </c>
      <c r="V309" s="109"/>
      <c r="W309" s="110">
        <v>80</v>
      </c>
      <c r="X309" s="20" t="str">
        <f>IFERROR(($N$21-N309)/W309,"")</f>
        <v/>
      </c>
      <c r="Y309" s="15" t="str">
        <f>IFERROR(($O$21-O309)/W309,"")</f>
        <v/>
      </c>
      <c r="Z309" s="15" t="str">
        <f>IFERROR(($P$21-P309)/W309,"")</f>
        <v/>
      </c>
      <c r="AA309" s="15" t="str">
        <f>IFERROR(($Q$21-Q309)/W309,"")</f>
        <v/>
      </c>
      <c r="AB309" s="15" t="str">
        <f>IFERROR(($R$21-R309)/W309,"")</f>
        <v/>
      </c>
      <c r="AC309" s="15" t="str">
        <f>IFERROR(($S$21-S309)/W309,"")</f>
        <v/>
      </c>
      <c r="AD309" s="20" t="str">
        <f t="shared" si="1384"/>
        <v/>
      </c>
      <c r="AE309" s="40" t="str">
        <f t="shared" si="1377"/>
        <v/>
      </c>
      <c r="AG309" s="229"/>
      <c r="AH309" s="77">
        <f>'Sample ID'!$F$13</f>
        <v>0</v>
      </c>
      <c r="AI309" s="77" t="str">
        <f>IFERROR((X309*$AH$39),"")</f>
        <v/>
      </c>
      <c r="AJ309" s="77" t="str">
        <f t="shared" ref="AJ309" si="1405">IFERROR((Y309*$AH$39),"")</f>
        <v/>
      </c>
      <c r="AK309" s="77" t="str">
        <f t="shared" ref="AK309" si="1406">IFERROR((Z309*$AH$39),"")</f>
        <v/>
      </c>
      <c r="AL309" s="77" t="str">
        <f t="shared" ref="AL309" si="1407">IFERROR((AA309*$AH$39),"")</f>
        <v/>
      </c>
      <c r="AM309" s="77" t="str">
        <f t="shared" ref="AM309" si="1408">IFERROR((AB309*$AH$39),"")</f>
        <v/>
      </c>
      <c r="AN309" s="77" t="str">
        <f t="shared" ref="AN309" si="1409">IFERROR((AC309*$AH$39),"")</f>
        <v/>
      </c>
      <c r="AO309" s="40" t="str">
        <f t="shared" si="1374"/>
        <v/>
      </c>
      <c r="AP309" s="40" t="str">
        <f t="shared" si="1383"/>
        <v/>
      </c>
      <c r="AQ309" s="15"/>
      <c r="AR309" s="15"/>
    </row>
    <row r="310" spans="3:44">
      <c r="C310" s="232"/>
      <c r="D310" s="39"/>
      <c r="E310" s="56">
        <v>7</v>
      </c>
      <c r="F310" s="56">
        <v>8</v>
      </c>
      <c r="G310" s="57">
        <v>9</v>
      </c>
      <c r="H310" s="56">
        <v>10</v>
      </c>
      <c r="I310" s="56">
        <v>11</v>
      </c>
      <c r="J310" s="57">
        <v>12</v>
      </c>
      <c r="K310" s="27"/>
      <c r="L310" s="232"/>
      <c r="M310" s="38"/>
      <c r="N310" s="59">
        <v>7</v>
      </c>
      <c r="O310" s="38">
        <v>8</v>
      </c>
      <c r="P310" s="38">
        <v>9</v>
      </c>
      <c r="Q310" s="38">
        <v>10</v>
      </c>
      <c r="R310" s="38">
        <v>11</v>
      </c>
      <c r="S310" s="50">
        <v>12</v>
      </c>
      <c r="T310" s="38" t="s">
        <v>24</v>
      </c>
      <c r="U310" s="51" t="s">
        <v>3</v>
      </c>
      <c r="V310" s="109"/>
      <c r="W310" s="98"/>
      <c r="X310" s="38">
        <v>7</v>
      </c>
      <c r="Y310" s="38">
        <v>8</v>
      </c>
      <c r="Z310" s="38">
        <v>9</v>
      </c>
      <c r="AA310" s="38">
        <v>10</v>
      </c>
      <c r="AB310" s="38">
        <v>11</v>
      </c>
      <c r="AC310" s="50">
        <v>12</v>
      </c>
      <c r="AD310" s="50" t="s">
        <v>49</v>
      </c>
      <c r="AE310" s="51" t="s">
        <v>3</v>
      </c>
      <c r="AG310" s="229"/>
      <c r="AH310" s="119"/>
      <c r="AI310" s="119"/>
      <c r="AJ310" s="119"/>
      <c r="AK310" s="119"/>
      <c r="AL310" s="119"/>
      <c r="AM310" s="119"/>
      <c r="AN310" s="119"/>
      <c r="AO310" s="100" t="str">
        <f>IFERROR(#REF!/(#REF!/W310), " ")</f>
        <v xml:space="preserve"> </v>
      </c>
      <c r="AP310" s="51" t="s">
        <v>3</v>
      </c>
      <c r="AQ310" s="15"/>
      <c r="AR310" s="15"/>
    </row>
    <row r="311" spans="3:44">
      <c r="C311" s="232"/>
      <c r="D311" s="21" t="s">
        <v>16</v>
      </c>
      <c r="E311" s="22">
        <f>Data!H207</f>
        <v>0</v>
      </c>
      <c r="F311" s="22">
        <f>Data!I207</f>
        <v>0</v>
      </c>
      <c r="G311" s="22">
        <f>Data!J207</f>
        <v>0</v>
      </c>
      <c r="H311" s="22">
        <f>Data!K207</f>
        <v>0</v>
      </c>
      <c r="I311" s="22">
        <f>Data!L207</f>
        <v>0</v>
      </c>
      <c r="J311" s="22">
        <f>Data!M207</f>
        <v>0</v>
      </c>
      <c r="K311" s="22"/>
      <c r="L311" s="232"/>
      <c r="M311" s="130" t="s">
        <v>16</v>
      </c>
      <c r="N311" s="15" t="str">
        <f t="shared" ref="N311:S318" si="1410">IF(((E311-$P$11)/$P$10)&gt;0,((E311-$P$11)/$P$10)," ")</f>
        <v xml:space="preserve"> </v>
      </c>
      <c r="O311" s="15" t="str">
        <f t="shared" si="1410"/>
        <v xml:space="preserve"> </v>
      </c>
      <c r="P311" s="15" t="str">
        <f t="shared" si="1410"/>
        <v xml:space="preserve"> </v>
      </c>
      <c r="Q311" s="15" t="str">
        <f t="shared" si="1410"/>
        <v xml:space="preserve"> </v>
      </c>
      <c r="R311" s="15" t="str">
        <f t="shared" si="1410"/>
        <v xml:space="preserve"> </v>
      </c>
      <c r="S311" s="15" t="str">
        <f t="shared" si="1410"/>
        <v xml:space="preserve"> </v>
      </c>
      <c r="T311" s="20" t="str">
        <f t="shared" si="1375"/>
        <v/>
      </c>
      <c r="U311" s="40" t="str">
        <f t="shared" si="1376"/>
        <v/>
      </c>
      <c r="V311" s="109"/>
      <c r="W311" s="110">
        <v>80</v>
      </c>
      <c r="X311" s="20" t="str">
        <f>IFERROR(($N$23-N311)/W311,"")</f>
        <v/>
      </c>
      <c r="Y311" s="15" t="str">
        <f>IFERROR(($O$23-O311)/W311,"")</f>
        <v/>
      </c>
      <c r="Z311" s="15" t="str">
        <f>IFERROR(($P$23-P311)/W311,"")</f>
        <v/>
      </c>
      <c r="AA311" s="15" t="str">
        <f>IFERROR(($Q$23-Q311)/W311,"")</f>
        <v/>
      </c>
      <c r="AB311" s="15" t="str">
        <f>IFERROR(($R$23-R311)/W311,"")</f>
        <v/>
      </c>
      <c r="AC311" s="15" t="str">
        <f>IFERROR(($S$23-S311)/W311,"")</f>
        <v/>
      </c>
      <c r="AD311" s="20" t="str">
        <f t="shared" ref="AD311:AD312" si="1411">IFERROR(AVERAGE(X311:AC311), "")</f>
        <v/>
      </c>
      <c r="AE311" s="40" t="str">
        <f t="shared" ref="AE311:AE312" si="1412">IFERROR(STDEV(X311:AC311), "")</f>
        <v/>
      </c>
      <c r="AG311" s="229"/>
      <c r="AH311" s="77">
        <f>'Sample ID'!$F$14</f>
        <v>0</v>
      </c>
      <c r="AI311" s="77" t="str">
        <f>IFERROR((X311*$AH$41),"")</f>
        <v/>
      </c>
      <c r="AJ311" s="77" t="str">
        <f t="shared" ref="AJ311" si="1413">IFERROR((Y311*$AH$41),"")</f>
        <v/>
      </c>
      <c r="AK311" s="77" t="str">
        <f t="shared" ref="AK311" si="1414">IFERROR((Z311*$AH$41),"")</f>
        <v/>
      </c>
      <c r="AL311" s="77" t="str">
        <f t="shared" ref="AL311" si="1415">IFERROR((AA311*$AH$41),"")</f>
        <v/>
      </c>
      <c r="AM311" s="77" t="str">
        <f t="shared" ref="AM311" si="1416">IFERROR((AB311*$AH$41),"")</f>
        <v/>
      </c>
      <c r="AN311" s="77" t="str">
        <f t="shared" ref="AN311" si="1417">IFERROR((AC311*$AH$41),"")</f>
        <v/>
      </c>
      <c r="AO311" s="40" t="str">
        <f>IFERROR(AVERAGE(AI311:AN311),"")</f>
        <v/>
      </c>
      <c r="AP311" s="40" t="str">
        <f t="shared" ref="AP311:AP312" si="1418">IFERROR(STDEV(AI311:AN311), "")</f>
        <v/>
      </c>
      <c r="AQ311" s="15"/>
      <c r="AR311" s="15"/>
    </row>
    <row r="312" spans="3:44">
      <c r="C312" s="232"/>
      <c r="D312" s="21" t="s">
        <v>17</v>
      </c>
      <c r="E312" s="22">
        <f>Data!H208</f>
        <v>0</v>
      </c>
      <c r="F312" s="22">
        <f>Data!I208</f>
        <v>0</v>
      </c>
      <c r="G312" s="22">
        <f>Data!J208</f>
        <v>0</v>
      </c>
      <c r="H312" s="22">
        <f>Data!K208</f>
        <v>0</v>
      </c>
      <c r="I312" s="22">
        <f>Data!L208</f>
        <v>0</v>
      </c>
      <c r="J312" s="22">
        <f>Data!M208</f>
        <v>0</v>
      </c>
      <c r="K312" s="22"/>
      <c r="L312" s="232"/>
      <c r="M312" s="130" t="s">
        <v>17</v>
      </c>
      <c r="N312" s="15" t="str">
        <f t="shared" si="1410"/>
        <v xml:space="preserve"> </v>
      </c>
      <c r="O312" s="15" t="str">
        <f t="shared" si="1410"/>
        <v xml:space="preserve"> </v>
      </c>
      <c r="P312" s="15" t="str">
        <f t="shared" si="1410"/>
        <v xml:space="preserve"> </v>
      </c>
      <c r="Q312" s="15" t="str">
        <f t="shared" si="1410"/>
        <v xml:space="preserve"> </v>
      </c>
      <c r="R312" s="15" t="str">
        <f t="shared" si="1410"/>
        <v xml:space="preserve"> </v>
      </c>
      <c r="S312" s="15" t="str">
        <f t="shared" si="1410"/>
        <v xml:space="preserve"> </v>
      </c>
      <c r="T312" s="20" t="str">
        <f t="shared" si="1375"/>
        <v/>
      </c>
      <c r="U312" s="40" t="str">
        <f t="shared" si="1376"/>
        <v/>
      </c>
      <c r="V312" s="109"/>
      <c r="W312" s="110">
        <v>80</v>
      </c>
      <c r="X312" s="20" t="str">
        <f>IFERROR(($N$24-N312)/W312,"")</f>
        <v/>
      </c>
      <c r="Y312" s="15" t="str">
        <f>IFERROR(($O$24-O312)/W312,"")</f>
        <v/>
      </c>
      <c r="Z312" s="15" t="str">
        <f>IFERROR(($P$24-P312)/W312,"")</f>
        <v/>
      </c>
      <c r="AA312" s="15" t="str">
        <f>IFERROR(($Q$24-Q312)/W312,"")</f>
        <v/>
      </c>
      <c r="AB312" s="15" t="str">
        <f>IFERROR(($R$24-R312)/W312,"")</f>
        <v/>
      </c>
      <c r="AC312" s="15" t="str">
        <f>IFERROR(($S$24-S312)/W312,"")</f>
        <v/>
      </c>
      <c r="AD312" s="20" t="str">
        <f t="shared" si="1411"/>
        <v/>
      </c>
      <c r="AE312" s="40" t="str">
        <f t="shared" si="1412"/>
        <v/>
      </c>
      <c r="AG312" s="229"/>
      <c r="AH312" s="77">
        <f>'Sample ID'!$F$15</f>
        <v>0</v>
      </c>
      <c r="AI312" s="77" t="str">
        <f>IFERROR((X312*$AH$42),"")</f>
        <v/>
      </c>
      <c r="AJ312" s="77" t="str">
        <f t="shared" ref="AJ312" si="1419">IFERROR((Y312*$AH$42),"")</f>
        <v/>
      </c>
      <c r="AK312" s="77" t="str">
        <f t="shared" ref="AK312" si="1420">IFERROR((Z312*$AH$42),"")</f>
        <v/>
      </c>
      <c r="AL312" s="77" t="str">
        <f t="shared" ref="AL312" si="1421">IFERROR((AA312*$AH$42),"")</f>
        <v/>
      </c>
      <c r="AM312" s="77" t="str">
        <f t="shared" ref="AM312" si="1422">IFERROR((AB312*$AH$42),"")</f>
        <v/>
      </c>
      <c r="AN312" s="77" t="str">
        <f t="shared" ref="AN312" si="1423">IFERROR((AC312*$AH$42),"")</f>
        <v/>
      </c>
      <c r="AO312" s="40" t="str">
        <f t="shared" ref="AO312:AO318" si="1424">IFERROR(AVERAGE(AI312:AN312),"")</f>
        <v/>
      </c>
      <c r="AP312" s="40" t="str">
        <f t="shared" si="1418"/>
        <v/>
      </c>
      <c r="AQ312" s="15"/>
      <c r="AR312" s="15"/>
    </row>
    <row r="313" spans="3:44">
      <c r="C313" s="232"/>
      <c r="D313" s="21" t="s">
        <v>18</v>
      </c>
      <c r="E313" s="22">
        <f>Data!H209</f>
        <v>0</v>
      </c>
      <c r="F313" s="22">
        <f>Data!I209</f>
        <v>0</v>
      </c>
      <c r="G313" s="22">
        <f>Data!J209</f>
        <v>0</v>
      </c>
      <c r="H313" s="22">
        <f>Data!K209</f>
        <v>0</v>
      </c>
      <c r="I313" s="22">
        <f>Data!L209</f>
        <v>0</v>
      </c>
      <c r="J313" s="22">
        <f>Data!M209</f>
        <v>0</v>
      </c>
      <c r="K313" s="22"/>
      <c r="L313" s="232"/>
      <c r="M313" s="130" t="s">
        <v>18</v>
      </c>
      <c r="N313" s="15" t="str">
        <f t="shared" si="1410"/>
        <v xml:space="preserve"> </v>
      </c>
      <c r="O313" s="15" t="str">
        <f t="shared" si="1410"/>
        <v xml:space="preserve"> </v>
      </c>
      <c r="P313" s="15" t="str">
        <f t="shared" si="1410"/>
        <v xml:space="preserve"> </v>
      </c>
      <c r="Q313" s="15" t="str">
        <f t="shared" si="1410"/>
        <v xml:space="preserve"> </v>
      </c>
      <c r="R313" s="15" t="str">
        <f t="shared" si="1410"/>
        <v xml:space="preserve"> </v>
      </c>
      <c r="S313" s="15" t="str">
        <f t="shared" si="1410"/>
        <v xml:space="preserve"> </v>
      </c>
      <c r="T313" s="20" t="str">
        <f t="shared" si="1375"/>
        <v/>
      </c>
      <c r="U313" s="40" t="str">
        <f t="shared" si="1376"/>
        <v/>
      </c>
      <c r="V313" s="109"/>
      <c r="W313" s="110">
        <v>80</v>
      </c>
      <c r="X313" s="20" t="str">
        <f>IFERROR(($N$25-N313)/W313,"")</f>
        <v/>
      </c>
      <c r="Y313" s="15" t="str">
        <f>IFERROR(($O$25-O313)/W313,"")</f>
        <v/>
      </c>
      <c r="Z313" s="15" t="str">
        <f>IFERROR(($P$25-P313)/W313,"")</f>
        <v/>
      </c>
      <c r="AA313" s="15" t="str">
        <f>IFERROR(($Q$25-Q313)/W313,"")</f>
        <v/>
      </c>
      <c r="AB313" s="15" t="str">
        <f>IFERROR(($R$25-R313)/W313,"")</f>
        <v/>
      </c>
      <c r="AC313" s="15" t="str">
        <f>IFERROR(($S$25-S313)/W313,"")</f>
        <v/>
      </c>
      <c r="AD313" s="20" t="str">
        <f>IFERROR(AVERAGE(X313:AC313), "")</f>
        <v/>
      </c>
      <c r="AE313" s="40" t="str">
        <f>IFERROR(STDEV(X313:AC313), "")</f>
        <v/>
      </c>
      <c r="AG313" s="229"/>
      <c r="AH313" s="77">
        <f>'Sample ID'!$F$16</f>
        <v>0</v>
      </c>
      <c r="AI313" s="77" t="str">
        <f>IFERROR((X313*$AH$43),"")</f>
        <v/>
      </c>
      <c r="AJ313" s="77" t="str">
        <f t="shared" ref="AJ313" si="1425">IFERROR((Y313*$AH$43),"")</f>
        <v/>
      </c>
      <c r="AK313" s="77" t="str">
        <f t="shared" ref="AK313" si="1426">IFERROR((Z313*$AH$43),"")</f>
        <v/>
      </c>
      <c r="AL313" s="77" t="str">
        <f t="shared" ref="AL313" si="1427">IFERROR((AA313*$AH$43),"")</f>
        <v/>
      </c>
      <c r="AM313" s="77" t="str">
        <f t="shared" ref="AM313" si="1428">IFERROR((AB313*$AH$43),"")</f>
        <v/>
      </c>
      <c r="AN313" s="77" t="str">
        <f t="shared" ref="AN313" si="1429">IFERROR((AC313*$AH$43),"")</f>
        <v/>
      </c>
      <c r="AO313" s="40" t="str">
        <f t="shared" si="1424"/>
        <v/>
      </c>
      <c r="AP313" s="40" t="str">
        <f>IFERROR(STDEV(AI313:AN313), "")</f>
        <v/>
      </c>
      <c r="AQ313" s="15"/>
      <c r="AR313" s="15"/>
    </row>
    <row r="314" spans="3:44">
      <c r="C314" s="232"/>
      <c r="D314" s="21" t="s">
        <v>19</v>
      </c>
      <c r="E314" s="22">
        <f>Data!H210</f>
        <v>0</v>
      </c>
      <c r="F314" s="22">
        <f>Data!I210</f>
        <v>0</v>
      </c>
      <c r="G314" s="22">
        <f>Data!J210</f>
        <v>0</v>
      </c>
      <c r="H314" s="22">
        <f>Data!K210</f>
        <v>0</v>
      </c>
      <c r="I314" s="22">
        <f>Data!L210</f>
        <v>0</v>
      </c>
      <c r="J314" s="22">
        <f>Data!M210</f>
        <v>0</v>
      </c>
      <c r="K314" s="22"/>
      <c r="L314" s="232"/>
      <c r="M314" s="130" t="s">
        <v>19</v>
      </c>
      <c r="N314" s="15" t="str">
        <f t="shared" si="1410"/>
        <v xml:space="preserve"> </v>
      </c>
      <c r="O314" s="15" t="str">
        <f t="shared" si="1410"/>
        <v xml:space="preserve"> </v>
      </c>
      <c r="P314" s="15" t="str">
        <f t="shared" si="1410"/>
        <v xml:space="preserve"> </v>
      </c>
      <c r="Q314" s="15" t="str">
        <f t="shared" si="1410"/>
        <v xml:space="preserve"> </v>
      </c>
      <c r="R314" s="15" t="str">
        <f t="shared" si="1410"/>
        <v xml:space="preserve"> </v>
      </c>
      <c r="S314" s="15" t="str">
        <f t="shared" si="1410"/>
        <v xml:space="preserve"> </v>
      </c>
      <c r="T314" s="20" t="str">
        <f t="shared" si="1375"/>
        <v/>
      </c>
      <c r="U314" s="40" t="str">
        <f t="shared" si="1376"/>
        <v/>
      </c>
      <c r="V314" s="109"/>
      <c r="W314" s="110">
        <v>80</v>
      </c>
      <c r="X314" s="20" t="str">
        <f>IFERROR(($N$26-N314)/W314,"")</f>
        <v/>
      </c>
      <c r="Y314" s="15" t="str">
        <f>IFERROR(($O$26-O314)/W314,"")</f>
        <v/>
      </c>
      <c r="Z314" s="15" t="str">
        <f>IFERROR(($P$26-P314)/W314,"")</f>
        <v/>
      </c>
      <c r="AA314" s="15" t="str">
        <f>IFERROR(($Q$17-Q314)/W314,"")</f>
        <v/>
      </c>
      <c r="AB314" s="15" t="str">
        <f>IFERROR(($R$26-R314)/W314,"")</f>
        <v/>
      </c>
      <c r="AC314" s="15" t="str">
        <f>IFERROR(($S$26-S314)/W314,"")</f>
        <v/>
      </c>
      <c r="AD314" s="20" t="str">
        <f t="shared" ref="AD314:AD317" si="1430">IFERROR(AVERAGE(X314:AC314), "")</f>
        <v/>
      </c>
      <c r="AE314" s="40" t="str">
        <f t="shared" ref="AE314:AE318" si="1431">IFERROR(STDEV(X314:AC314), "")</f>
        <v/>
      </c>
      <c r="AG314" s="229"/>
      <c r="AH314" s="77">
        <f>'Sample ID'!$F$17</f>
        <v>0</v>
      </c>
      <c r="AI314" s="77" t="str">
        <f>IFERROR((X314*$AH$44),"")</f>
        <v/>
      </c>
      <c r="AJ314" s="77" t="str">
        <f t="shared" ref="AJ314" si="1432">IFERROR((Y314*$AH$44),"")</f>
        <v/>
      </c>
      <c r="AK314" s="77" t="str">
        <f t="shared" ref="AK314" si="1433">IFERROR((Z314*$AH$44),"")</f>
        <v/>
      </c>
      <c r="AL314" s="77" t="str">
        <f t="shared" ref="AL314" si="1434">IFERROR((AA314*$AH$44),"")</f>
        <v/>
      </c>
      <c r="AM314" s="77" t="str">
        <f t="shared" ref="AM314" si="1435">IFERROR((AB314*$AH$44),"")</f>
        <v/>
      </c>
      <c r="AN314" s="77" t="str">
        <f t="shared" ref="AN314" si="1436">IFERROR((AC314*$AH$44),"")</f>
        <v/>
      </c>
      <c r="AO314" s="40" t="str">
        <f t="shared" si="1424"/>
        <v/>
      </c>
      <c r="AP314" s="40" t="str">
        <f t="shared" ref="AP314:AP318" si="1437">IFERROR(STDEV(AI314:AN314), "")</f>
        <v/>
      </c>
      <c r="AQ314" s="15"/>
      <c r="AR314" s="15"/>
    </row>
    <row r="315" spans="3:44">
      <c r="C315" s="232"/>
      <c r="D315" s="21" t="s">
        <v>20</v>
      </c>
      <c r="E315" s="22">
        <f>Data!H211</f>
        <v>0</v>
      </c>
      <c r="F315" s="22">
        <f>Data!I211</f>
        <v>0</v>
      </c>
      <c r="G315" s="22">
        <f>Data!J211</f>
        <v>0</v>
      </c>
      <c r="H315" s="22">
        <f>Data!K211</f>
        <v>0</v>
      </c>
      <c r="I315" s="22">
        <f>Data!L211</f>
        <v>0</v>
      </c>
      <c r="J315" s="22">
        <f>Data!M211</f>
        <v>0</v>
      </c>
      <c r="K315" s="22"/>
      <c r="L315" s="232"/>
      <c r="M315" s="130" t="s">
        <v>20</v>
      </c>
      <c r="N315" s="15" t="str">
        <f t="shared" si="1410"/>
        <v xml:space="preserve"> </v>
      </c>
      <c r="O315" s="15" t="str">
        <f t="shared" si="1410"/>
        <v xml:space="preserve"> </v>
      </c>
      <c r="P315" s="15" t="str">
        <f t="shared" si="1410"/>
        <v xml:space="preserve"> </v>
      </c>
      <c r="Q315" s="15" t="str">
        <f t="shared" si="1410"/>
        <v xml:space="preserve"> </v>
      </c>
      <c r="R315" s="15" t="str">
        <f t="shared" si="1410"/>
        <v xml:space="preserve"> </v>
      </c>
      <c r="S315" s="15" t="str">
        <f t="shared" si="1410"/>
        <v xml:space="preserve"> </v>
      </c>
      <c r="T315" s="20" t="str">
        <f t="shared" si="1375"/>
        <v/>
      </c>
      <c r="U315" s="40" t="str">
        <f t="shared" si="1376"/>
        <v/>
      </c>
      <c r="V315" s="109"/>
      <c r="W315" s="110">
        <v>80</v>
      </c>
      <c r="X315" s="20" t="str">
        <f>IFERROR(($N$27-N315)/W315,"")</f>
        <v/>
      </c>
      <c r="Y315" s="15" t="str">
        <f>IFERROR(($O$27-O315)/W315,"")</f>
        <v/>
      </c>
      <c r="Z315" s="15" t="str">
        <f>IFERROR(($P$27-P315)/W315,"")</f>
        <v/>
      </c>
      <c r="AA315" s="15" t="str">
        <f>IFERROR(($Q$18-Q315)/W315,"")</f>
        <v/>
      </c>
      <c r="AB315" s="15" t="str">
        <f>IFERROR(($R$27-R315)/W315,"")</f>
        <v/>
      </c>
      <c r="AC315" s="15" t="str">
        <f>IFERROR(($S$27-S315)/W315,"")</f>
        <v/>
      </c>
      <c r="AD315" s="20" t="str">
        <f t="shared" si="1430"/>
        <v/>
      </c>
      <c r="AE315" s="40" t="str">
        <f t="shared" si="1431"/>
        <v/>
      </c>
      <c r="AG315" s="229"/>
      <c r="AH315" s="77">
        <f>'Sample ID'!$F$18</f>
        <v>0</v>
      </c>
      <c r="AI315" s="77" t="str">
        <f>IFERROR((X315*$AH$45),"")</f>
        <v/>
      </c>
      <c r="AJ315" s="77" t="str">
        <f t="shared" ref="AJ315" si="1438">IFERROR((Y315*$AH$45),"")</f>
        <v/>
      </c>
      <c r="AK315" s="77" t="str">
        <f t="shared" ref="AK315" si="1439">IFERROR((Z315*$AH$45),"")</f>
        <v/>
      </c>
      <c r="AL315" s="77" t="str">
        <f t="shared" ref="AL315" si="1440">IFERROR((AA315*$AH$45),"")</f>
        <v/>
      </c>
      <c r="AM315" s="77" t="str">
        <f t="shared" ref="AM315" si="1441">IFERROR((AB315*$AH$45),"")</f>
        <v/>
      </c>
      <c r="AN315" s="77" t="str">
        <f t="shared" ref="AN315" si="1442">IFERROR((AC315*$AH$45),"")</f>
        <v/>
      </c>
      <c r="AO315" s="40" t="str">
        <f t="shared" si="1424"/>
        <v/>
      </c>
      <c r="AP315" s="40" t="str">
        <f t="shared" si="1437"/>
        <v/>
      </c>
      <c r="AQ315" s="15"/>
      <c r="AR315" s="15"/>
    </row>
    <row r="316" spans="3:44">
      <c r="C316" s="232"/>
      <c r="D316" s="21" t="s">
        <v>21</v>
      </c>
      <c r="E316" s="22">
        <f>Data!H212</f>
        <v>0</v>
      </c>
      <c r="F316" s="22">
        <f>Data!I212</f>
        <v>0</v>
      </c>
      <c r="G316" s="22">
        <f>Data!J212</f>
        <v>0</v>
      </c>
      <c r="H316" s="22">
        <f>Data!K212</f>
        <v>0</v>
      </c>
      <c r="I316" s="22">
        <f>Data!L212</f>
        <v>0</v>
      </c>
      <c r="J316" s="22">
        <f>Data!M212</f>
        <v>0</v>
      </c>
      <c r="K316" s="22"/>
      <c r="L316" s="232"/>
      <c r="M316" s="130" t="s">
        <v>21</v>
      </c>
      <c r="N316" s="15" t="str">
        <f t="shared" si="1410"/>
        <v xml:space="preserve"> </v>
      </c>
      <c r="O316" s="15" t="str">
        <f t="shared" si="1410"/>
        <v xml:space="preserve"> </v>
      </c>
      <c r="P316" s="15" t="str">
        <f t="shared" si="1410"/>
        <v xml:space="preserve"> </v>
      </c>
      <c r="Q316" s="15" t="str">
        <f t="shared" si="1410"/>
        <v xml:space="preserve"> </v>
      </c>
      <c r="R316" s="15" t="str">
        <f t="shared" si="1410"/>
        <v xml:space="preserve"> </v>
      </c>
      <c r="S316" s="15" t="str">
        <f t="shared" si="1410"/>
        <v xml:space="preserve"> </v>
      </c>
      <c r="T316" s="20" t="str">
        <f t="shared" si="1375"/>
        <v/>
      </c>
      <c r="U316" s="40" t="str">
        <f t="shared" si="1376"/>
        <v/>
      </c>
      <c r="V316" s="109"/>
      <c r="W316" s="110">
        <v>80</v>
      </c>
      <c r="X316" s="20" t="str">
        <f>IFERROR(($N$28-N316)/W316,"")</f>
        <v/>
      </c>
      <c r="Y316" s="15" t="str">
        <f>IFERROR(($O$28-O316)/W316,"")</f>
        <v/>
      </c>
      <c r="Z316" s="15" t="str">
        <f>IFERROR(($P$28-P316)/W316,"")</f>
        <v/>
      </c>
      <c r="AA316" s="15" t="str">
        <f>IFERROR(($Q$19-Q316)/W316,"")</f>
        <v/>
      </c>
      <c r="AB316" s="15" t="str">
        <f>IFERROR(($R$28-R316)/W316,"")</f>
        <v/>
      </c>
      <c r="AC316" s="15" t="str">
        <f>IFERROR(($S$28-S316)/W316,"")</f>
        <v/>
      </c>
      <c r="AD316" s="20" t="str">
        <f t="shared" si="1430"/>
        <v/>
      </c>
      <c r="AE316" s="40" t="str">
        <f t="shared" si="1431"/>
        <v/>
      </c>
      <c r="AG316" s="229"/>
      <c r="AH316" s="77">
        <f>'Sample ID'!$F$19</f>
        <v>0</v>
      </c>
      <c r="AI316" s="77" t="str">
        <f>IFERROR((X316*$AH$46),"")</f>
        <v/>
      </c>
      <c r="AJ316" s="77" t="str">
        <f t="shared" ref="AJ316" si="1443">IFERROR((Y316*$AH$46),"")</f>
        <v/>
      </c>
      <c r="AK316" s="77" t="str">
        <f t="shared" ref="AK316" si="1444">IFERROR((Z316*$AH$46),"")</f>
        <v/>
      </c>
      <c r="AL316" s="77" t="str">
        <f t="shared" ref="AL316" si="1445">IFERROR((AA316*$AH$46),"")</f>
        <v/>
      </c>
      <c r="AM316" s="77" t="str">
        <f t="shared" ref="AM316" si="1446">IFERROR((AB316*$AH$46),"")</f>
        <v/>
      </c>
      <c r="AN316" s="77" t="str">
        <f t="shared" ref="AN316" si="1447">IFERROR((AC316*$AH$46),"")</f>
        <v/>
      </c>
      <c r="AO316" s="40" t="str">
        <f t="shared" si="1424"/>
        <v/>
      </c>
      <c r="AP316" s="40" t="str">
        <f t="shared" si="1437"/>
        <v/>
      </c>
      <c r="AQ316" s="15"/>
      <c r="AR316" s="15"/>
    </row>
    <row r="317" spans="3:44">
      <c r="C317" s="232"/>
      <c r="D317" s="21" t="s">
        <v>22</v>
      </c>
      <c r="E317" s="22">
        <f>Data!H213</f>
        <v>0</v>
      </c>
      <c r="F317" s="22">
        <f>Data!I213</f>
        <v>0</v>
      </c>
      <c r="G317" s="22">
        <f>Data!J213</f>
        <v>0</v>
      </c>
      <c r="H317" s="22">
        <f>Data!K213</f>
        <v>0</v>
      </c>
      <c r="I317" s="22">
        <f>Data!L213</f>
        <v>0</v>
      </c>
      <c r="J317" s="22">
        <f>Data!M213</f>
        <v>0</v>
      </c>
      <c r="K317" s="22"/>
      <c r="L317" s="232"/>
      <c r="M317" s="130" t="s">
        <v>22</v>
      </c>
      <c r="N317" s="15" t="str">
        <f t="shared" si="1410"/>
        <v xml:space="preserve"> </v>
      </c>
      <c r="O317" s="15" t="str">
        <f t="shared" si="1410"/>
        <v xml:space="preserve"> </v>
      </c>
      <c r="P317" s="15" t="str">
        <f t="shared" si="1410"/>
        <v xml:space="preserve"> </v>
      </c>
      <c r="Q317" s="15" t="str">
        <f t="shared" si="1410"/>
        <v xml:space="preserve"> </v>
      </c>
      <c r="R317" s="15" t="str">
        <f t="shared" si="1410"/>
        <v xml:space="preserve"> </v>
      </c>
      <c r="S317" s="15" t="str">
        <f t="shared" si="1410"/>
        <v xml:space="preserve"> </v>
      </c>
      <c r="T317" s="20" t="str">
        <f t="shared" si="1375"/>
        <v/>
      </c>
      <c r="U317" s="40" t="str">
        <f t="shared" si="1376"/>
        <v/>
      </c>
      <c r="V317" s="109"/>
      <c r="W317" s="110">
        <v>80</v>
      </c>
      <c r="X317" s="20" t="str">
        <f>IFERROR(($N$29-N317)/W317,"")</f>
        <v/>
      </c>
      <c r="Y317" s="15" t="str">
        <f>IFERROR(($O$29-O317)/W317,"")</f>
        <v/>
      </c>
      <c r="Z317" s="15" t="str">
        <f>IFERROR(($P$29-P317)/W317,"")</f>
        <v/>
      </c>
      <c r="AA317" s="15" t="str">
        <f>IFERROR(($Q$20-Q317)/W317,"")</f>
        <v/>
      </c>
      <c r="AB317" s="15" t="str">
        <f>IFERROR(($R$29-R317)/W317,"")</f>
        <v/>
      </c>
      <c r="AC317" s="15" t="str">
        <f>IFERROR(($S$29-S317)/W317,"")</f>
        <v/>
      </c>
      <c r="AD317" s="20" t="str">
        <f t="shared" si="1430"/>
        <v/>
      </c>
      <c r="AE317" s="40" t="str">
        <f t="shared" si="1431"/>
        <v/>
      </c>
      <c r="AG317" s="229"/>
      <c r="AH317" s="77">
        <f>'Sample ID'!$F$20</f>
        <v>0</v>
      </c>
      <c r="AI317" s="77" t="str">
        <f>IFERROR((X317*$AH$47),"")</f>
        <v/>
      </c>
      <c r="AJ317" s="77" t="str">
        <f t="shared" ref="AJ317" si="1448">IFERROR((Y317*$AH$47),"")</f>
        <v/>
      </c>
      <c r="AK317" s="77" t="str">
        <f t="shared" ref="AK317" si="1449">IFERROR((Z317*$AH$47),"")</f>
        <v/>
      </c>
      <c r="AL317" s="77" t="str">
        <f t="shared" ref="AL317" si="1450">IFERROR((AA317*$AH$47),"")</f>
        <v/>
      </c>
      <c r="AM317" s="77" t="str">
        <f t="shared" ref="AM317" si="1451">IFERROR((AB317*$AH$47),"")</f>
        <v/>
      </c>
      <c r="AN317" s="77" t="str">
        <f t="shared" ref="AN317" si="1452">IFERROR((AC317*$AH$47),"")</f>
        <v/>
      </c>
      <c r="AO317" s="40" t="str">
        <f t="shared" si="1424"/>
        <v/>
      </c>
      <c r="AP317" s="40" t="str">
        <f t="shared" si="1437"/>
        <v/>
      </c>
      <c r="AQ317" s="15"/>
      <c r="AR317" s="15"/>
    </row>
    <row r="318" spans="3:44">
      <c r="C318" s="232"/>
      <c r="D318" s="21" t="s">
        <v>23</v>
      </c>
      <c r="E318" s="22">
        <f>Data!H214</f>
        <v>0</v>
      </c>
      <c r="F318" s="22">
        <f>Data!I214</f>
        <v>0</v>
      </c>
      <c r="G318" s="22">
        <f>Data!J214</f>
        <v>0</v>
      </c>
      <c r="H318" s="22">
        <f>Data!K214</f>
        <v>0</v>
      </c>
      <c r="I318" s="22">
        <f>Data!L214</f>
        <v>0</v>
      </c>
      <c r="J318" s="22">
        <f>Data!M214</f>
        <v>0</v>
      </c>
      <c r="K318" s="22"/>
      <c r="L318" s="232"/>
      <c r="M318" s="130" t="s">
        <v>23</v>
      </c>
      <c r="N318" s="15" t="str">
        <f t="shared" si="1410"/>
        <v xml:space="preserve"> </v>
      </c>
      <c r="O318" s="15" t="str">
        <f t="shared" si="1410"/>
        <v xml:space="preserve"> </v>
      </c>
      <c r="P318" s="15" t="str">
        <f t="shared" si="1410"/>
        <v xml:space="preserve"> </v>
      </c>
      <c r="Q318" s="15" t="str">
        <f t="shared" si="1410"/>
        <v xml:space="preserve"> </v>
      </c>
      <c r="R318" s="15" t="str">
        <f t="shared" si="1410"/>
        <v xml:space="preserve"> </v>
      </c>
      <c r="S318" s="15" t="str">
        <f t="shared" si="1410"/>
        <v xml:space="preserve"> </v>
      </c>
      <c r="T318" s="20" t="str">
        <f t="shared" si="1375"/>
        <v/>
      </c>
      <c r="U318" s="40" t="str">
        <f t="shared" si="1376"/>
        <v/>
      </c>
      <c r="V318" s="109"/>
      <c r="W318" s="110">
        <v>80</v>
      </c>
      <c r="X318" s="20" t="str">
        <f>IFERROR(($N$30-N318)/W318,"")</f>
        <v/>
      </c>
      <c r="Y318" s="15" t="str">
        <f>IFERROR(($O$30-O318)/W318,"")</f>
        <v/>
      </c>
      <c r="Z318" s="15" t="str">
        <f>IFERROR(($P$30-P318)/W318,"")</f>
        <v/>
      </c>
      <c r="AA318" s="15" t="str">
        <f>IFERROR(($Q$21-Q318)/W318,"")</f>
        <v/>
      </c>
      <c r="AB318" s="17" t="str">
        <f>IFERROR(($R$30-R318)/W318,"")</f>
        <v/>
      </c>
      <c r="AC318" s="15" t="str">
        <f>IFERROR(($S$30-S318)/W318,"")</f>
        <v/>
      </c>
      <c r="AD318" s="20" t="str">
        <f>IFERROR(AVERAGE(X318:AC318), "")</f>
        <v/>
      </c>
      <c r="AE318" s="40" t="str">
        <f t="shared" si="1431"/>
        <v/>
      </c>
      <c r="AG318" s="230"/>
      <c r="AH318" s="77">
        <f>'Sample ID'!$F$21</f>
        <v>0</v>
      </c>
      <c r="AI318" s="77" t="str">
        <f>IFERROR((X318*$AH$48),"")</f>
        <v/>
      </c>
      <c r="AJ318" s="77" t="str">
        <f t="shared" ref="AJ318" si="1453">IFERROR((Y318*$AH$48),"")</f>
        <v/>
      </c>
      <c r="AK318" s="77" t="str">
        <f t="shared" ref="AK318" si="1454">IFERROR((Z318*$AH$48),"")</f>
        <v/>
      </c>
      <c r="AL318" s="77" t="str">
        <f t="shared" ref="AL318" si="1455">IFERROR((AA318*$AH$48),"")</f>
        <v/>
      </c>
      <c r="AM318" s="77" t="str">
        <f t="shared" ref="AM318" si="1456">IFERROR((AB318*$AH$48),"")</f>
        <v/>
      </c>
      <c r="AN318" s="77" t="str">
        <f t="shared" ref="AN318" si="1457">IFERROR((AC318*$AH$48),"")</f>
        <v/>
      </c>
      <c r="AO318" s="40" t="str">
        <f t="shared" si="1424"/>
        <v/>
      </c>
      <c r="AP318" s="40" t="str">
        <f t="shared" si="1437"/>
        <v/>
      </c>
      <c r="AQ318" s="15"/>
      <c r="AR318" s="15"/>
    </row>
    <row r="319" spans="3:44">
      <c r="C319" s="232">
        <v>85</v>
      </c>
      <c r="D319" s="50"/>
      <c r="E319" s="58">
        <v>1</v>
      </c>
      <c r="F319" s="58">
        <v>2</v>
      </c>
      <c r="G319" s="59">
        <v>3</v>
      </c>
      <c r="H319" s="56">
        <v>4</v>
      </c>
      <c r="I319" s="56">
        <v>5</v>
      </c>
      <c r="J319" s="57">
        <v>6</v>
      </c>
      <c r="K319" s="27"/>
      <c r="L319" s="232">
        <v>85</v>
      </c>
      <c r="M319" s="38"/>
      <c r="N319" s="59">
        <v>1</v>
      </c>
      <c r="O319" s="38">
        <v>2</v>
      </c>
      <c r="P319" s="38">
        <v>3</v>
      </c>
      <c r="Q319" s="38">
        <v>4</v>
      </c>
      <c r="R319" s="38">
        <v>5</v>
      </c>
      <c r="S319" s="50">
        <v>6</v>
      </c>
      <c r="T319" s="38" t="s">
        <v>24</v>
      </c>
      <c r="U319" s="51" t="s">
        <v>3</v>
      </c>
      <c r="V319" s="109"/>
      <c r="W319" s="38" t="s">
        <v>34</v>
      </c>
      <c r="X319" s="38">
        <v>1</v>
      </c>
      <c r="Y319" s="38">
        <v>2</v>
      </c>
      <c r="Z319" s="38">
        <v>3</v>
      </c>
      <c r="AA319" s="38">
        <v>4</v>
      </c>
      <c r="AB319" s="38">
        <v>5</v>
      </c>
      <c r="AC319" s="50">
        <v>6</v>
      </c>
      <c r="AD319" s="50" t="s">
        <v>49</v>
      </c>
      <c r="AE319" s="51" t="s">
        <v>3</v>
      </c>
      <c r="AF319" s="69"/>
      <c r="AG319" s="231">
        <v>85</v>
      </c>
      <c r="AH319" s="38" t="s">
        <v>35</v>
      </c>
      <c r="AI319" s="38"/>
      <c r="AJ319" s="38"/>
      <c r="AK319" s="38"/>
      <c r="AL319" s="38"/>
      <c r="AM319" s="38"/>
      <c r="AN319" s="38"/>
      <c r="AO319" s="52" t="s">
        <v>36</v>
      </c>
      <c r="AP319" s="51" t="s">
        <v>3</v>
      </c>
      <c r="AQ319" s="15"/>
      <c r="AR319" s="15"/>
    </row>
    <row r="320" spans="3:44">
      <c r="C320" s="232"/>
      <c r="D320" s="21" t="s">
        <v>16</v>
      </c>
      <c r="E320" s="22">
        <f>Data!B219</f>
        <v>0</v>
      </c>
      <c r="F320" s="22">
        <f>Data!C219</f>
        <v>0</v>
      </c>
      <c r="G320" s="22">
        <f>Data!D219</f>
        <v>0</v>
      </c>
      <c r="H320" s="22">
        <f>Data!E219</f>
        <v>0</v>
      </c>
      <c r="I320" s="22">
        <f>Data!F219</f>
        <v>0</v>
      </c>
      <c r="J320" s="22">
        <f>Data!G219</f>
        <v>0</v>
      </c>
      <c r="K320" s="22"/>
      <c r="L320" s="232"/>
      <c r="M320" s="130" t="s">
        <v>16</v>
      </c>
      <c r="N320" s="15" t="str">
        <f t="shared" ref="N320:S327" si="1458">IF(((E320-$P$11)/$P$10)&gt;0,((E320-$P$11)/$P$10)," ")</f>
        <v xml:space="preserve"> </v>
      </c>
      <c r="O320" s="15" t="str">
        <f t="shared" si="1458"/>
        <v xml:space="preserve"> </v>
      </c>
      <c r="P320" s="15" t="str">
        <f t="shared" si="1458"/>
        <v xml:space="preserve"> </v>
      </c>
      <c r="Q320" s="15" t="str">
        <f t="shared" si="1458"/>
        <v xml:space="preserve"> </v>
      </c>
      <c r="R320" s="15" t="str">
        <f t="shared" si="1458"/>
        <v xml:space="preserve"> </v>
      </c>
      <c r="S320" s="15" t="str">
        <f t="shared" si="1458"/>
        <v xml:space="preserve"> </v>
      </c>
      <c r="T320" s="20" t="str">
        <f t="shared" si="1375"/>
        <v/>
      </c>
      <c r="U320" s="40" t="str">
        <f t="shared" si="1376"/>
        <v/>
      </c>
      <c r="V320" s="109"/>
      <c r="W320" s="110">
        <v>85</v>
      </c>
      <c r="X320" s="20" t="str">
        <f>IFERROR(($N$14-N320)/W320,"")</f>
        <v/>
      </c>
      <c r="Y320" s="15" t="str">
        <f>IFERROR(($O$14-O320)/W320,"")</f>
        <v/>
      </c>
      <c r="Z320" s="15" t="str">
        <f>IFERROR(($P$14-P320)/W320,"")</f>
        <v/>
      </c>
      <c r="AA320" s="15" t="str">
        <f>IFERROR(($Q$14-Q320)/W320,"")</f>
        <v/>
      </c>
      <c r="AB320" s="15" t="str">
        <f>IFERROR(($R$14-R320)/W320,"")</f>
        <v/>
      </c>
      <c r="AC320" s="15" t="str">
        <f>IFERROR(($S$14-S320)/W320,"")</f>
        <v/>
      </c>
      <c r="AD320" s="20" t="str">
        <f>IFERROR(AVERAGE(X320:AC320), "")</f>
        <v/>
      </c>
      <c r="AE320" s="40" t="str">
        <f>IFERROR(STDEV(X320:AC320), "")</f>
        <v/>
      </c>
      <c r="AG320" s="229"/>
      <c r="AH320" s="76">
        <f>'Sample ID'!$F$6</f>
        <v>1</v>
      </c>
      <c r="AI320" s="77" t="str">
        <f>IFERROR((X320*$AH$32),"")</f>
        <v/>
      </c>
      <c r="AJ320" s="77" t="str">
        <f t="shared" ref="AJ320" si="1459">IFERROR((Y320*$AH$32),"")</f>
        <v/>
      </c>
      <c r="AK320" s="77" t="str">
        <f t="shared" ref="AK320" si="1460">IFERROR((Z320*$AH$32),"")</f>
        <v/>
      </c>
      <c r="AL320" s="77" t="str">
        <f t="shared" ref="AL320" si="1461">IFERROR((AA320*$AH$32),"")</f>
        <v/>
      </c>
      <c r="AM320" s="77" t="str">
        <f t="shared" ref="AM320" si="1462">IFERROR((AB320*$AH$32),"")</f>
        <v/>
      </c>
      <c r="AN320" s="77" t="str">
        <f t="shared" ref="AN320" si="1463">IFERROR((AC320*$AH$32),"")</f>
        <v/>
      </c>
      <c r="AO320" s="40" t="str">
        <f>IFERROR(AVERAGE(AI320:AN320),"")</f>
        <v/>
      </c>
      <c r="AP320" s="40" t="str">
        <f>IFERROR(STDEV(AI320:AN320), "")</f>
        <v/>
      </c>
      <c r="AQ320" s="15"/>
      <c r="AR320" s="15"/>
    </row>
    <row r="321" spans="3:44">
      <c r="C321" s="232"/>
      <c r="D321" s="21" t="s">
        <v>17</v>
      </c>
      <c r="E321" s="22">
        <f>Data!B220</f>
        <v>0</v>
      </c>
      <c r="F321" s="22">
        <f>Data!C220</f>
        <v>0</v>
      </c>
      <c r="G321" s="22">
        <f>Data!D220</f>
        <v>0</v>
      </c>
      <c r="H321" s="22">
        <f>Data!E220</f>
        <v>0</v>
      </c>
      <c r="I321" s="22">
        <f>Data!F220</f>
        <v>0</v>
      </c>
      <c r="J321" s="22">
        <f>Data!G220</f>
        <v>0</v>
      </c>
      <c r="K321" s="22"/>
      <c r="L321" s="232"/>
      <c r="M321" s="130" t="s">
        <v>17</v>
      </c>
      <c r="N321" s="15" t="str">
        <f t="shared" si="1458"/>
        <v xml:space="preserve"> </v>
      </c>
      <c r="O321" s="15" t="str">
        <f t="shared" si="1458"/>
        <v xml:space="preserve"> </v>
      </c>
      <c r="P321" s="15" t="str">
        <f t="shared" si="1458"/>
        <v xml:space="preserve"> </v>
      </c>
      <c r="Q321" s="15" t="str">
        <f t="shared" si="1458"/>
        <v xml:space="preserve"> </v>
      </c>
      <c r="R321" s="15" t="str">
        <f t="shared" si="1458"/>
        <v xml:space="preserve"> </v>
      </c>
      <c r="S321" s="15" t="str">
        <f t="shared" si="1458"/>
        <v xml:space="preserve"> </v>
      </c>
      <c r="T321" s="20" t="str">
        <f t="shared" si="1375"/>
        <v/>
      </c>
      <c r="U321" s="40" t="str">
        <f t="shared" si="1376"/>
        <v/>
      </c>
      <c r="V321" s="109"/>
      <c r="W321" s="110">
        <v>85</v>
      </c>
      <c r="X321" s="20" t="str">
        <f>IFERROR(($N$15-N321)/W321,"")</f>
        <v/>
      </c>
      <c r="Y321" s="15" t="str">
        <f>IFERROR(($O$15-O321)/W321,"")</f>
        <v/>
      </c>
      <c r="Z321" s="15" t="str">
        <f>IFERROR(($P$15-P321)/W321,"")</f>
        <v/>
      </c>
      <c r="AA321" s="15" t="str">
        <f>IFERROR(($Q$15-Q321)/W321,"")</f>
        <v/>
      </c>
      <c r="AB321" s="15" t="str">
        <f>IFERROR(($R$15-R321)/W321,"")</f>
        <v/>
      </c>
      <c r="AC321" s="15" t="str">
        <f>IFERROR(($S$15-S321)/W321,"")</f>
        <v/>
      </c>
      <c r="AD321" s="20" t="str">
        <f>IFERROR(AVERAGE(X321:AC321), "")</f>
        <v/>
      </c>
      <c r="AE321" s="40" t="str">
        <f>IFERROR(STDEV(X321:AC321), "")</f>
        <v/>
      </c>
      <c r="AG321" s="229"/>
      <c r="AH321" s="77">
        <f>'Sample ID'!$F$7</f>
        <v>1</v>
      </c>
      <c r="AI321" s="77" t="str">
        <f>IFERROR((X321*$AH$33),"")</f>
        <v/>
      </c>
      <c r="AJ321" s="77" t="str">
        <f t="shared" ref="AJ321" si="1464">IFERROR((Y321*$AH$33),"")</f>
        <v/>
      </c>
      <c r="AK321" s="77" t="str">
        <f t="shared" ref="AK321" si="1465">IFERROR((Z321*$AH$33),"")</f>
        <v/>
      </c>
      <c r="AL321" s="77" t="str">
        <f t="shared" ref="AL321" si="1466">IFERROR((AA321*$AH$33),"")</f>
        <v/>
      </c>
      <c r="AM321" s="77" t="str">
        <f t="shared" ref="AM321" si="1467">IFERROR((AB321*$AH$33),"")</f>
        <v/>
      </c>
      <c r="AN321" s="77" t="str">
        <f t="shared" ref="AN321" si="1468">IFERROR((AC321*$AH$33),"")</f>
        <v/>
      </c>
      <c r="AO321" s="40" t="str">
        <f t="shared" ref="AO321:AO327" si="1469">IFERROR(AVERAGE(AI321:AN321),"")</f>
        <v/>
      </c>
      <c r="AP321" s="40" t="str">
        <f>IFERROR(STDEV(AI321:AN321), "")</f>
        <v/>
      </c>
      <c r="AQ321" s="15"/>
      <c r="AR321" s="15"/>
    </row>
    <row r="322" spans="3:44">
      <c r="C322" s="232"/>
      <c r="D322" s="21" t="s">
        <v>18</v>
      </c>
      <c r="E322" s="22">
        <f>Data!B221</f>
        <v>0</v>
      </c>
      <c r="F322" s="22">
        <f>Data!C221</f>
        <v>0</v>
      </c>
      <c r="G322" s="22">
        <f>Data!D221</f>
        <v>0</v>
      </c>
      <c r="H322" s="22">
        <f>Data!E221</f>
        <v>0</v>
      </c>
      <c r="I322" s="22">
        <f>Data!F221</f>
        <v>0</v>
      </c>
      <c r="J322" s="22">
        <f>Data!G221</f>
        <v>0</v>
      </c>
      <c r="K322" s="22"/>
      <c r="L322" s="232"/>
      <c r="M322" s="130" t="s">
        <v>18</v>
      </c>
      <c r="N322" s="15" t="str">
        <f t="shared" si="1458"/>
        <v xml:space="preserve"> </v>
      </c>
      <c r="O322" s="15" t="str">
        <f t="shared" si="1458"/>
        <v xml:space="preserve"> </v>
      </c>
      <c r="P322" s="15" t="str">
        <f t="shared" si="1458"/>
        <v xml:space="preserve"> </v>
      </c>
      <c r="Q322" s="15" t="str">
        <f t="shared" si="1458"/>
        <v xml:space="preserve"> </v>
      </c>
      <c r="R322" s="15" t="str">
        <f t="shared" si="1458"/>
        <v xml:space="preserve"> </v>
      </c>
      <c r="S322" s="15" t="str">
        <f t="shared" si="1458"/>
        <v xml:space="preserve"> </v>
      </c>
      <c r="T322" s="20" t="str">
        <f t="shared" si="1375"/>
        <v/>
      </c>
      <c r="U322" s="40" t="str">
        <f t="shared" si="1376"/>
        <v/>
      </c>
      <c r="V322" s="109"/>
      <c r="W322" s="110">
        <v>85</v>
      </c>
      <c r="X322" s="20" t="str">
        <f>IFERROR(($N$16-N322)/W322,"")</f>
        <v/>
      </c>
      <c r="Y322" s="15" t="str">
        <f>IFERROR(($O$16-O322)/W322,"")</f>
        <v/>
      </c>
      <c r="Z322" s="15" t="str">
        <f>IFERROR(($P$16-P322)/W322,"")</f>
        <v/>
      </c>
      <c r="AA322" s="15" t="str">
        <f>IFERROR(($Q$16-Q322)/W322,"")</f>
        <v/>
      </c>
      <c r="AB322" s="15" t="str">
        <f>IFERROR(($R$16-R322)/W322,"")</f>
        <v/>
      </c>
      <c r="AC322" s="15" t="str">
        <f>IFERROR(($S$16-S322)/W322,"")</f>
        <v/>
      </c>
      <c r="AD322" s="20" t="str">
        <f>IFERROR(AVERAGE(X322:AC322), "")</f>
        <v/>
      </c>
      <c r="AE322" s="40" t="str">
        <f t="shared" ref="AE322:AE327" si="1470">IFERROR(STDEV(X322:AC322), "")</f>
        <v/>
      </c>
      <c r="AG322" s="229"/>
      <c r="AH322" s="77">
        <f>'Sample ID'!$F$8</f>
        <v>1</v>
      </c>
      <c r="AI322" s="77" t="str">
        <f>IFERROR((X322*$AH$34),"")</f>
        <v/>
      </c>
      <c r="AJ322" s="77" t="str">
        <f t="shared" ref="AJ322" si="1471">IFERROR((Y322*$AH$34),"")</f>
        <v/>
      </c>
      <c r="AK322" s="77" t="str">
        <f t="shared" ref="AK322" si="1472">IFERROR((Z322*$AH$34),"")</f>
        <v/>
      </c>
      <c r="AL322" s="77" t="str">
        <f t="shared" ref="AL322" si="1473">IFERROR((AA322*$AH$34),"")</f>
        <v/>
      </c>
      <c r="AM322" s="77" t="str">
        <f t="shared" ref="AM322" si="1474">IFERROR((AB322*$AH$34),"")</f>
        <v/>
      </c>
      <c r="AN322" s="77" t="str">
        <f t="shared" ref="AN322" si="1475">IFERROR((AC322*$AH$34),"")</f>
        <v/>
      </c>
      <c r="AO322" s="40" t="str">
        <f t="shared" si="1469"/>
        <v/>
      </c>
      <c r="AP322" s="40" t="str">
        <f t="shared" ref="AP322:AP327" si="1476">IFERROR(STDEV(AI322:AN322), "")</f>
        <v/>
      </c>
      <c r="AQ322" s="15"/>
      <c r="AR322" s="15"/>
    </row>
    <row r="323" spans="3:44">
      <c r="C323" s="232"/>
      <c r="D323" s="21" t="s">
        <v>19</v>
      </c>
      <c r="E323" s="22">
        <f>Data!B222</f>
        <v>0</v>
      </c>
      <c r="F323" s="22">
        <f>Data!C222</f>
        <v>0</v>
      </c>
      <c r="G323" s="22">
        <f>Data!D222</f>
        <v>0</v>
      </c>
      <c r="H323" s="22">
        <f>Data!E222</f>
        <v>0</v>
      </c>
      <c r="I323" s="22">
        <f>Data!F222</f>
        <v>0</v>
      </c>
      <c r="J323" s="22">
        <f>Data!G222</f>
        <v>0</v>
      </c>
      <c r="K323" s="22"/>
      <c r="L323" s="232"/>
      <c r="M323" s="130" t="s">
        <v>19</v>
      </c>
      <c r="N323" s="15" t="str">
        <f t="shared" si="1458"/>
        <v xml:space="preserve"> </v>
      </c>
      <c r="O323" s="15" t="str">
        <f t="shared" si="1458"/>
        <v xml:space="preserve"> </v>
      </c>
      <c r="P323" s="15" t="str">
        <f t="shared" si="1458"/>
        <v xml:space="preserve"> </v>
      </c>
      <c r="Q323" s="15" t="str">
        <f t="shared" si="1458"/>
        <v xml:space="preserve"> </v>
      </c>
      <c r="R323" s="15" t="str">
        <f t="shared" si="1458"/>
        <v xml:space="preserve"> </v>
      </c>
      <c r="S323" s="15" t="str">
        <f t="shared" si="1458"/>
        <v xml:space="preserve"> </v>
      </c>
      <c r="T323" s="20" t="str">
        <f t="shared" si="1375"/>
        <v/>
      </c>
      <c r="U323" s="40" t="str">
        <f t="shared" si="1376"/>
        <v/>
      </c>
      <c r="V323" s="109"/>
      <c r="W323" s="110">
        <v>85</v>
      </c>
      <c r="X323" s="20" t="str">
        <f>IFERROR(($N$17-N323)/W323,"")</f>
        <v/>
      </c>
      <c r="Y323" s="15" t="str">
        <f>IFERROR(($O$17-O323)/W323,"")</f>
        <v/>
      </c>
      <c r="Z323" s="15" t="str">
        <f>IFERROR(($P$17-P323)/W323,"")</f>
        <v/>
      </c>
      <c r="AA323" s="15" t="str">
        <f>IFERROR(($Q$17-Q323)/W323,"")</f>
        <v/>
      </c>
      <c r="AB323" s="15" t="str">
        <f>IFERROR(($R$17-R323)/W323,"")</f>
        <v/>
      </c>
      <c r="AC323" s="15" t="str">
        <f>IFERROR(($S$17-S323)/W323,"")</f>
        <v/>
      </c>
      <c r="AD323" s="20" t="str">
        <f t="shared" ref="AD323:AD327" si="1477">IFERROR(AVERAGE(X323:AC323), "")</f>
        <v/>
      </c>
      <c r="AE323" s="40" t="str">
        <f t="shared" si="1470"/>
        <v/>
      </c>
      <c r="AG323" s="229"/>
      <c r="AH323" s="77">
        <f>'Sample ID'!$F$9</f>
        <v>1</v>
      </c>
      <c r="AI323" s="77" t="str">
        <f>IFERROR((X323*$AH$35),"")</f>
        <v/>
      </c>
      <c r="AJ323" s="77" t="str">
        <f t="shared" ref="AJ323" si="1478">IFERROR((Y323*$AH$35),"")</f>
        <v/>
      </c>
      <c r="AK323" s="77" t="str">
        <f t="shared" ref="AK323" si="1479">IFERROR((Z323*$AH$35),"")</f>
        <v/>
      </c>
      <c r="AL323" s="77" t="str">
        <f t="shared" ref="AL323" si="1480">IFERROR((AA323*$AH$35),"")</f>
        <v/>
      </c>
      <c r="AM323" s="77" t="str">
        <f t="shared" ref="AM323" si="1481">IFERROR((AB323*$AH$35),"")</f>
        <v/>
      </c>
      <c r="AN323" s="77" t="str">
        <f t="shared" ref="AN323" si="1482">IFERROR((AC323*$AH$35),"")</f>
        <v/>
      </c>
      <c r="AO323" s="40" t="str">
        <f t="shared" si="1469"/>
        <v/>
      </c>
      <c r="AP323" s="40" t="str">
        <f t="shared" si="1476"/>
        <v/>
      </c>
      <c r="AQ323" s="15"/>
      <c r="AR323" s="15"/>
    </row>
    <row r="324" spans="3:44">
      <c r="C324" s="232"/>
      <c r="D324" s="21" t="s">
        <v>20</v>
      </c>
      <c r="E324" s="22">
        <f>Data!B223</f>
        <v>0</v>
      </c>
      <c r="F324" s="22">
        <f>Data!C223</f>
        <v>0</v>
      </c>
      <c r="G324" s="22">
        <f>Data!D223</f>
        <v>0</v>
      </c>
      <c r="H324" s="22">
        <f>Data!E223</f>
        <v>0</v>
      </c>
      <c r="I324" s="22">
        <f>Data!F223</f>
        <v>0</v>
      </c>
      <c r="J324" s="22">
        <f>Data!G223</f>
        <v>0</v>
      </c>
      <c r="K324" s="22"/>
      <c r="L324" s="232"/>
      <c r="M324" s="130" t="s">
        <v>20</v>
      </c>
      <c r="N324" s="15" t="str">
        <f t="shared" si="1458"/>
        <v xml:space="preserve"> </v>
      </c>
      <c r="O324" s="15" t="str">
        <f t="shared" si="1458"/>
        <v xml:space="preserve"> </v>
      </c>
      <c r="P324" s="15" t="str">
        <f t="shared" si="1458"/>
        <v xml:space="preserve"> </v>
      </c>
      <c r="Q324" s="15" t="str">
        <f t="shared" si="1458"/>
        <v xml:space="preserve"> </v>
      </c>
      <c r="R324" s="15" t="str">
        <f t="shared" si="1458"/>
        <v xml:space="preserve"> </v>
      </c>
      <c r="S324" s="15" t="str">
        <f t="shared" si="1458"/>
        <v xml:space="preserve"> </v>
      </c>
      <c r="T324" s="20" t="str">
        <f t="shared" si="1375"/>
        <v/>
      </c>
      <c r="U324" s="40" t="str">
        <f t="shared" si="1376"/>
        <v/>
      </c>
      <c r="V324" s="109"/>
      <c r="W324" s="110">
        <v>85</v>
      </c>
      <c r="X324" s="20" t="str">
        <f>IFERROR(($N$18-N324)/W324,"")</f>
        <v/>
      </c>
      <c r="Y324" s="15" t="str">
        <f>IFERROR(($O$18-O324)/W324,"")</f>
        <v/>
      </c>
      <c r="Z324" s="15" t="str">
        <f>IFERROR(($P$18-P324)/W324,"")</f>
        <v/>
      </c>
      <c r="AA324" s="15" t="str">
        <f>IFERROR(($Q$18-Q324)/W324,"")</f>
        <v/>
      </c>
      <c r="AB324" s="15" t="str">
        <f>IFERROR(($R$18-R324)/W324,"")</f>
        <v/>
      </c>
      <c r="AC324" s="15" t="str">
        <f>IFERROR(($S$18-S324)/W324,"")</f>
        <v/>
      </c>
      <c r="AD324" s="20" t="str">
        <f t="shared" si="1477"/>
        <v/>
      </c>
      <c r="AE324" s="40" t="str">
        <f t="shared" si="1470"/>
        <v/>
      </c>
      <c r="AG324" s="229"/>
      <c r="AH324" s="77">
        <f>'Sample ID'!$F$10</f>
        <v>1</v>
      </c>
      <c r="AI324" s="77" t="str">
        <f>IFERROR((X324*$AH$36),"")</f>
        <v/>
      </c>
      <c r="AJ324" s="77" t="str">
        <f t="shared" ref="AJ324" si="1483">IFERROR((Y324*$AH$36),"")</f>
        <v/>
      </c>
      <c r="AK324" s="77" t="str">
        <f t="shared" ref="AK324" si="1484">IFERROR((Z324*$AH$36),"")</f>
        <v/>
      </c>
      <c r="AL324" s="77" t="str">
        <f t="shared" ref="AL324" si="1485">IFERROR((AA324*$AH$36),"")</f>
        <v/>
      </c>
      <c r="AM324" s="77" t="str">
        <f t="shared" ref="AM324" si="1486">IFERROR((AB324*$AH$36),"")</f>
        <v/>
      </c>
      <c r="AN324" s="77" t="str">
        <f t="shared" ref="AN324" si="1487">IFERROR((AC324*$AH$36),"")</f>
        <v/>
      </c>
      <c r="AO324" s="40" t="str">
        <f t="shared" si="1469"/>
        <v/>
      </c>
      <c r="AP324" s="40" t="str">
        <f t="shared" si="1476"/>
        <v/>
      </c>
      <c r="AQ324" s="15"/>
      <c r="AR324" s="15"/>
    </row>
    <row r="325" spans="3:44">
      <c r="C325" s="232"/>
      <c r="D325" s="21" t="s">
        <v>21</v>
      </c>
      <c r="E325" s="22">
        <f>Data!B224</f>
        <v>0</v>
      </c>
      <c r="F325" s="22">
        <f>Data!C224</f>
        <v>0</v>
      </c>
      <c r="G325" s="22">
        <f>Data!D224</f>
        <v>0</v>
      </c>
      <c r="H325" s="22">
        <f>Data!E224</f>
        <v>0</v>
      </c>
      <c r="I325" s="22">
        <f>Data!F224</f>
        <v>0</v>
      </c>
      <c r="J325" s="22">
        <f>Data!G224</f>
        <v>0</v>
      </c>
      <c r="K325" s="22"/>
      <c r="L325" s="232"/>
      <c r="M325" s="130" t="s">
        <v>21</v>
      </c>
      <c r="N325" s="15" t="str">
        <f t="shared" si="1458"/>
        <v xml:space="preserve"> </v>
      </c>
      <c r="O325" s="15" t="str">
        <f t="shared" si="1458"/>
        <v xml:space="preserve"> </v>
      </c>
      <c r="P325" s="15" t="str">
        <f t="shared" si="1458"/>
        <v xml:space="preserve"> </v>
      </c>
      <c r="Q325" s="15" t="str">
        <f t="shared" si="1458"/>
        <v xml:space="preserve"> </v>
      </c>
      <c r="R325" s="15" t="str">
        <f t="shared" si="1458"/>
        <v xml:space="preserve"> </v>
      </c>
      <c r="S325" s="15" t="str">
        <f t="shared" si="1458"/>
        <v xml:space="preserve"> </v>
      </c>
      <c r="T325" s="20" t="str">
        <f t="shared" si="1375"/>
        <v/>
      </c>
      <c r="U325" s="40" t="str">
        <f t="shared" si="1376"/>
        <v/>
      </c>
      <c r="V325" s="109"/>
      <c r="W325" s="110">
        <v>85</v>
      </c>
      <c r="X325" s="20" t="str">
        <f>IFERROR(($N$19-N325)/W325,"")</f>
        <v/>
      </c>
      <c r="Y325" s="15" t="str">
        <f>IFERROR(($O$19-O325)/W325,"")</f>
        <v/>
      </c>
      <c r="Z325" s="15" t="str">
        <f>IFERROR(($P$19-P325)/W325,"")</f>
        <v/>
      </c>
      <c r="AA325" s="15" t="str">
        <f>IFERROR(($Q$19-Q325)/W325,"")</f>
        <v/>
      </c>
      <c r="AB325" s="15" t="str">
        <f>IFERROR(($R$19-R325)/W325,"")</f>
        <v/>
      </c>
      <c r="AC325" s="15" t="str">
        <f>IFERROR(($S$19-S325)/W325,"")</f>
        <v/>
      </c>
      <c r="AD325" s="20" t="str">
        <f t="shared" si="1477"/>
        <v/>
      </c>
      <c r="AE325" s="40" t="str">
        <f t="shared" si="1470"/>
        <v/>
      </c>
      <c r="AG325" s="229"/>
      <c r="AH325" s="77">
        <f>'Sample ID'!$F$11</f>
        <v>0</v>
      </c>
      <c r="AI325" s="77" t="str">
        <f>IFERROR((X325*$AH$37),"")</f>
        <v/>
      </c>
      <c r="AJ325" s="77" t="str">
        <f t="shared" ref="AJ325" si="1488">IFERROR((Y325*$AH$37),"")</f>
        <v/>
      </c>
      <c r="AK325" s="77" t="str">
        <f t="shared" ref="AK325" si="1489">IFERROR((Z325*$AH$37),"")</f>
        <v/>
      </c>
      <c r="AL325" s="77" t="str">
        <f t="shared" ref="AL325" si="1490">IFERROR((AA325*$AH$37),"")</f>
        <v/>
      </c>
      <c r="AM325" s="77" t="str">
        <f t="shared" ref="AM325" si="1491">IFERROR((AB325*$AH$37),"")</f>
        <v/>
      </c>
      <c r="AN325" s="77" t="str">
        <f t="shared" ref="AN325" si="1492">IFERROR((AC325*$AH$37),"")</f>
        <v/>
      </c>
      <c r="AO325" s="40" t="str">
        <f t="shared" si="1469"/>
        <v/>
      </c>
      <c r="AP325" s="40" t="str">
        <f t="shared" si="1476"/>
        <v/>
      </c>
      <c r="AQ325" s="15"/>
      <c r="AR325" s="15"/>
    </row>
    <row r="326" spans="3:44">
      <c r="C326" s="232"/>
      <c r="D326" s="21" t="s">
        <v>22</v>
      </c>
      <c r="E326" s="22">
        <f>Data!B225</f>
        <v>0</v>
      </c>
      <c r="F326" s="22">
        <f>Data!C225</f>
        <v>0</v>
      </c>
      <c r="G326" s="22">
        <f>Data!D225</f>
        <v>0</v>
      </c>
      <c r="H326" s="22">
        <f>Data!E225</f>
        <v>0</v>
      </c>
      <c r="I326" s="22">
        <f>Data!F225</f>
        <v>0</v>
      </c>
      <c r="J326" s="22">
        <f>Data!G225</f>
        <v>0</v>
      </c>
      <c r="K326" s="22"/>
      <c r="L326" s="232"/>
      <c r="M326" s="130" t="s">
        <v>22</v>
      </c>
      <c r="N326" s="15" t="str">
        <f t="shared" si="1458"/>
        <v xml:space="preserve"> </v>
      </c>
      <c r="O326" s="15" t="str">
        <f t="shared" si="1458"/>
        <v xml:space="preserve"> </v>
      </c>
      <c r="P326" s="15" t="str">
        <f t="shared" si="1458"/>
        <v xml:space="preserve"> </v>
      </c>
      <c r="Q326" s="15" t="str">
        <f t="shared" si="1458"/>
        <v xml:space="preserve"> </v>
      </c>
      <c r="R326" s="15" t="str">
        <f t="shared" si="1458"/>
        <v xml:space="preserve"> </v>
      </c>
      <c r="S326" s="15" t="str">
        <f t="shared" si="1458"/>
        <v xml:space="preserve"> </v>
      </c>
      <c r="T326" s="20" t="str">
        <f t="shared" si="1375"/>
        <v/>
      </c>
      <c r="U326" s="40" t="str">
        <f t="shared" si="1376"/>
        <v/>
      </c>
      <c r="V326" s="109"/>
      <c r="W326" s="110">
        <v>85</v>
      </c>
      <c r="X326" s="20" t="str">
        <f>IFERROR(($N$20-N326)/W326,"")</f>
        <v/>
      </c>
      <c r="Y326" s="15" t="str">
        <f>IFERROR(($O$20-O326)/W326,"")</f>
        <v/>
      </c>
      <c r="Z326" s="15" t="str">
        <f>IFERROR(($P$20-P326)/W326,"")</f>
        <v/>
      </c>
      <c r="AA326" s="15" t="str">
        <f>IFERROR(($Q$20-Q326)/W326,"")</f>
        <v/>
      </c>
      <c r="AB326" s="15" t="str">
        <f>IFERROR(($R$20-R326)/W326,"")</f>
        <v/>
      </c>
      <c r="AC326" s="15" t="str">
        <f>IFERROR(($S$20-S326)/W326,"")</f>
        <v/>
      </c>
      <c r="AD326" s="20" t="str">
        <f t="shared" si="1477"/>
        <v/>
      </c>
      <c r="AE326" s="40" t="str">
        <f t="shared" si="1470"/>
        <v/>
      </c>
      <c r="AG326" s="229"/>
      <c r="AH326" s="77">
        <f>'Sample ID'!$F$12</f>
        <v>0</v>
      </c>
      <c r="AI326" s="77" t="str">
        <f>IFERROR((X326*$AH$38),"")</f>
        <v/>
      </c>
      <c r="AJ326" s="77" t="str">
        <f t="shared" ref="AJ326" si="1493">IFERROR((Y326*$AH$38),"")</f>
        <v/>
      </c>
      <c r="AK326" s="77" t="str">
        <f t="shared" ref="AK326" si="1494">IFERROR((Z326*$AH$38),"")</f>
        <v/>
      </c>
      <c r="AL326" s="77" t="str">
        <f t="shared" ref="AL326" si="1495">IFERROR((AA326*$AH$38),"")</f>
        <v/>
      </c>
      <c r="AM326" s="77" t="str">
        <f t="shared" ref="AM326" si="1496">IFERROR((AB326*$AH$38),"")</f>
        <v/>
      </c>
      <c r="AN326" s="77" t="str">
        <f t="shared" ref="AN326" si="1497">IFERROR((AC326*$AH$38),"")</f>
        <v/>
      </c>
      <c r="AO326" s="40" t="str">
        <f t="shared" si="1469"/>
        <v/>
      </c>
      <c r="AP326" s="40" t="str">
        <f t="shared" si="1476"/>
        <v/>
      </c>
      <c r="AQ326" s="15"/>
      <c r="AR326" s="15"/>
    </row>
    <row r="327" spans="3:44">
      <c r="C327" s="232"/>
      <c r="D327" s="21" t="s">
        <v>23</v>
      </c>
      <c r="E327" s="22">
        <f>Data!B226</f>
        <v>0</v>
      </c>
      <c r="F327" s="22">
        <f>Data!C226</f>
        <v>0</v>
      </c>
      <c r="G327" s="22">
        <f>Data!D226</f>
        <v>0</v>
      </c>
      <c r="H327" s="22">
        <f>Data!E226</f>
        <v>0</v>
      </c>
      <c r="I327" s="22">
        <f>Data!F226</f>
        <v>0</v>
      </c>
      <c r="J327" s="22">
        <f>Data!G226</f>
        <v>0</v>
      </c>
      <c r="K327" s="22"/>
      <c r="L327" s="232"/>
      <c r="M327" s="130" t="s">
        <v>23</v>
      </c>
      <c r="N327" s="15" t="str">
        <f t="shared" si="1458"/>
        <v xml:space="preserve"> </v>
      </c>
      <c r="O327" s="15" t="str">
        <f t="shared" si="1458"/>
        <v xml:space="preserve"> </v>
      </c>
      <c r="P327" s="15" t="str">
        <f t="shared" si="1458"/>
        <v xml:space="preserve"> </v>
      </c>
      <c r="Q327" s="15" t="str">
        <f t="shared" si="1458"/>
        <v xml:space="preserve"> </v>
      </c>
      <c r="R327" s="15" t="str">
        <f t="shared" si="1458"/>
        <v xml:space="preserve"> </v>
      </c>
      <c r="S327" s="15" t="str">
        <f t="shared" si="1458"/>
        <v xml:space="preserve"> </v>
      </c>
      <c r="T327" s="20" t="str">
        <f t="shared" si="1375"/>
        <v/>
      </c>
      <c r="U327" s="40" t="str">
        <f t="shared" si="1376"/>
        <v/>
      </c>
      <c r="V327" s="109"/>
      <c r="W327" s="110">
        <v>85</v>
      </c>
      <c r="X327" s="20" t="str">
        <f>IFERROR(($N$21-N327)/W327,"")</f>
        <v/>
      </c>
      <c r="Y327" s="15" t="str">
        <f>IFERROR(($O$21-O327)/W327,"")</f>
        <v/>
      </c>
      <c r="Z327" s="15" t="str">
        <f>IFERROR(($P$21-P327)/W327,"")</f>
        <v/>
      </c>
      <c r="AA327" s="15" t="str">
        <f>IFERROR(($Q$21-Q327)/W327,"")</f>
        <v/>
      </c>
      <c r="AB327" s="15" t="str">
        <f>IFERROR(($R$21-R327)/W327,"")</f>
        <v/>
      </c>
      <c r="AC327" s="15" t="str">
        <f>IFERROR(($S$21-S327)/W327,"")</f>
        <v/>
      </c>
      <c r="AD327" s="20" t="str">
        <f t="shared" si="1477"/>
        <v/>
      </c>
      <c r="AE327" s="40" t="str">
        <f t="shared" si="1470"/>
        <v/>
      </c>
      <c r="AG327" s="229"/>
      <c r="AH327" s="77">
        <f>'Sample ID'!$F$13</f>
        <v>0</v>
      </c>
      <c r="AI327" s="77" t="str">
        <f>IFERROR((X327*$AH$39),"")</f>
        <v/>
      </c>
      <c r="AJ327" s="77" t="str">
        <f t="shared" ref="AJ327" si="1498">IFERROR((Y327*$AH$39),"")</f>
        <v/>
      </c>
      <c r="AK327" s="77" t="str">
        <f t="shared" ref="AK327" si="1499">IFERROR((Z327*$AH$39),"")</f>
        <v/>
      </c>
      <c r="AL327" s="77" t="str">
        <f t="shared" ref="AL327" si="1500">IFERROR((AA327*$AH$39),"")</f>
        <v/>
      </c>
      <c r="AM327" s="77" t="str">
        <f t="shared" ref="AM327" si="1501">IFERROR((AB327*$AH$39),"")</f>
        <v/>
      </c>
      <c r="AN327" s="77" t="str">
        <f t="shared" ref="AN327" si="1502">IFERROR((AC327*$AH$39),"")</f>
        <v/>
      </c>
      <c r="AO327" s="40" t="str">
        <f t="shared" si="1469"/>
        <v/>
      </c>
      <c r="AP327" s="40" t="str">
        <f t="shared" si="1476"/>
        <v/>
      </c>
      <c r="AQ327" s="15"/>
      <c r="AR327" s="15"/>
    </row>
    <row r="328" spans="3:44">
      <c r="C328" s="232"/>
      <c r="D328" s="39"/>
      <c r="E328" s="56">
        <v>7</v>
      </c>
      <c r="F328" s="56">
        <v>8</v>
      </c>
      <c r="G328" s="57">
        <v>9</v>
      </c>
      <c r="H328" s="56">
        <v>10</v>
      </c>
      <c r="I328" s="56">
        <v>11</v>
      </c>
      <c r="J328" s="57">
        <v>12</v>
      </c>
      <c r="K328" s="27"/>
      <c r="L328" s="232"/>
      <c r="M328" s="38"/>
      <c r="N328" s="59">
        <v>7</v>
      </c>
      <c r="O328" s="38">
        <v>8</v>
      </c>
      <c r="P328" s="38">
        <v>9</v>
      </c>
      <c r="Q328" s="38">
        <v>10</v>
      </c>
      <c r="R328" s="38">
        <v>11</v>
      </c>
      <c r="S328" s="50">
        <v>12</v>
      </c>
      <c r="T328" s="38" t="s">
        <v>24</v>
      </c>
      <c r="U328" s="51" t="s">
        <v>3</v>
      </c>
      <c r="V328" s="109"/>
      <c r="W328" s="98"/>
      <c r="X328" s="38">
        <v>7</v>
      </c>
      <c r="Y328" s="38">
        <v>8</v>
      </c>
      <c r="Z328" s="38">
        <v>9</v>
      </c>
      <c r="AA328" s="38">
        <v>10</v>
      </c>
      <c r="AB328" s="38">
        <v>11</v>
      </c>
      <c r="AC328" s="50">
        <v>12</v>
      </c>
      <c r="AD328" s="50" t="s">
        <v>49</v>
      </c>
      <c r="AE328" s="51" t="s">
        <v>3</v>
      </c>
      <c r="AG328" s="229"/>
      <c r="AH328" s="119"/>
      <c r="AI328" s="119"/>
      <c r="AJ328" s="119"/>
      <c r="AK328" s="119"/>
      <c r="AL328" s="119"/>
      <c r="AM328" s="119"/>
      <c r="AN328" s="119"/>
      <c r="AO328" s="100" t="str">
        <f>IFERROR(#REF!/(#REF!/W328), " ")</f>
        <v xml:space="preserve"> </v>
      </c>
      <c r="AP328" s="51" t="s">
        <v>3</v>
      </c>
      <c r="AQ328" s="15"/>
      <c r="AR328" s="15"/>
    </row>
    <row r="329" spans="3:44">
      <c r="C329" s="232"/>
      <c r="D329" s="21" t="s">
        <v>16</v>
      </c>
      <c r="E329" s="22">
        <f>Data!H219</f>
        <v>0</v>
      </c>
      <c r="F329" s="22">
        <f>Data!I219</f>
        <v>0</v>
      </c>
      <c r="G329" s="22">
        <f>Data!J219</f>
        <v>0</v>
      </c>
      <c r="H329" s="22">
        <f>Data!K219</f>
        <v>0</v>
      </c>
      <c r="I329" s="22">
        <f>Data!L219</f>
        <v>0</v>
      </c>
      <c r="J329" s="22">
        <f>Data!M219</f>
        <v>0</v>
      </c>
      <c r="K329" s="22"/>
      <c r="L329" s="232"/>
      <c r="M329" s="130" t="s">
        <v>16</v>
      </c>
      <c r="N329" s="15" t="str">
        <f t="shared" ref="N329:S336" si="1503">IF(((E329-$P$11)/$P$10)&gt;0,((E329-$P$11)/$P$10)," ")</f>
        <v xml:space="preserve"> </v>
      </c>
      <c r="O329" s="15" t="str">
        <f t="shared" si="1503"/>
        <v xml:space="preserve"> </v>
      </c>
      <c r="P329" s="15" t="str">
        <f t="shared" si="1503"/>
        <v xml:space="preserve"> </v>
      </c>
      <c r="Q329" s="15" t="str">
        <f t="shared" si="1503"/>
        <v xml:space="preserve"> </v>
      </c>
      <c r="R329" s="15" t="str">
        <f t="shared" si="1503"/>
        <v xml:space="preserve"> </v>
      </c>
      <c r="S329" s="15" t="str">
        <f t="shared" si="1503"/>
        <v xml:space="preserve"> </v>
      </c>
      <c r="T329" s="20" t="str">
        <f t="shared" si="1375"/>
        <v/>
      </c>
      <c r="U329" s="40" t="str">
        <f t="shared" si="1376"/>
        <v/>
      </c>
      <c r="V329" s="109"/>
      <c r="W329" s="110">
        <v>85</v>
      </c>
      <c r="X329" s="20" t="str">
        <f>IFERROR(($N$23-N329)/W329,"")</f>
        <v/>
      </c>
      <c r="Y329" s="15" t="str">
        <f>IFERROR(($O$23-O329)/W329,"")</f>
        <v/>
      </c>
      <c r="Z329" s="15" t="str">
        <f>IFERROR(($P$23-P329)/W329,"")</f>
        <v/>
      </c>
      <c r="AA329" s="15" t="str">
        <f>IFERROR(($Q$23-Q329)/W329,"")</f>
        <v/>
      </c>
      <c r="AB329" s="15" t="str">
        <f>IFERROR(($R$23-R329)/W329,"")</f>
        <v/>
      </c>
      <c r="AC329" s="15" t="str">
        <f>IFERROR(($S$23-S329)/W329,"")</f>
        <v/>
      </c>
      <c r="AD329" s="20" t="str">
        <f t="shared" ref="AD329:AD330" si="1504">IFERROR(AVERAGE(X329:AC329), "")</f>
        <v/>
      </c>
      <c r="AE329" s="40" t="str">
        <f t="shared" ref="AE329:AE330" si="1505">IFERROR(STDEV(X329:AC329), "")</f>
        <v/>
      </c>
      <c r="AG329" s="229"/>
      <c r="AH329" s="77">
        <f>'Sample ID'!$F$14</f>
        <v>0</v>
      </c>
      <c r="AI329" s="77" t="str">
        <f>IFERROR((X329*$AH$41),"")</f>
        <v/>
      </c>
      <c r="AJ329" s="77" t="str">
        <f t="shared" ref="AJ329" si="1506">IFERROR((Y329*$AH$41),"")</f>
        <v/>
      </c>
      <c r="AK329" s="77" t="str">
        <f t="shared" ref="AK329" si="1507">IFERROR((Z329*$AH$41),"")</f>
        <v/>
      </c>
      <c r="AL329" s="77" t="str">
        <f t="shared" ref="AL329" si="1508">IFERROR((AA329*$AH$41),"")</f>
        <v/>
      </c>
      <c r="AM329" s="77" t="str">
        <f t="shared" ref="AM329" si="1509">IFERROR((AB329*$AH$41),"")</f>
        <v/>
      </c>
      <c r="AN329" s="77" t="str">
        <f t="shared" ref="AN329" si="1510">IFERROR((AC329*$AH$41),"")</f>
        <v/>
      </c>
      <c r="AO329" s="40" t="str">
        <f>IFERROR(AVERAGE(AI329:AN329),"")</f>
        <v/>
      </c>
      <c r="AP329" s="40" t="str">
        <f t="shared" ref="AP329:AP330" si="1511">IFERROR(STDEV(AI329:AN329), "")</f>
        <v/>
      </c>
      <c r="AQ329" s="15"/>
      <c r="AR329" s="15"/>
    </row>
    <row r="330" spans="3:44">
      <c r="C330" s="232"/>
      <c r="D330" s="21" t="s">
        <v>17</v>
      </c>
      <c r="E330" s="22">
        <f>Data!H220</f>
        <v>0</v>
      </c>
      <c r="F330" s="22">
        <f>Data!I220</f>
        <v>0</v>
      </c>
      <c r="G330" s="22">
        <f>Data!J220</f>
        <v>0</v>
      </c>
      <c r="H330" s="22">
        <f>Data!K220</f>
        <v>0</v>
      </c>
      <c r="I330" s="22">
        <f>Data!L220</f>
        <v>0</v>
      </c>
      <c r="J330" s="22">
        <f>Data!M220</f>
        <v>0</v>
      </c>
      <c r="K330" s="22"/>
      <c r="L330" s="232"/>
      <c r="M330" s="130" t="s">
        <v>17</v>
      </c>
      <c r="N330" s="15" t="str">
        <f t="shared" si="1503"/>
        <v xml:space="preserve"> </v>
      </c>
      <c r="O330" s="15" t="str">
        <f t="shared" si="1503"/>
        <v xml:space="preserve"> </v>
      </c>
      <c r="P330" s="15" t="str">
        <f t="shared" si="1503"/>
        <v xml:space="preserve"> </v>
      </c>
      <c r="Q330" s="15" t="str">
        <f t="shared" si="1503"/>
        <v xml:space="preserve"> </v>
      </c>
      <c r="R330" s="15" t="str">
        <f t="shared" si="1503"/>
        <v xml:space="preserve"> </v>
      </c>
      <c r="S330" s="15" t="str">
        <f t="shared" si="1503"/>
        <v xml:space="preserve"> </v>
      </c>
      <c r="T330" s="20" t="str">
        <f t="shared" si="1375"/>
        <v/>
      </c>
      <c r="U330" s="40" t="str">
        <f t="shared" si="1376"/>
        <v/>
      </c>
      <c r="V330" s="109"/>
      <c r="W330" s="110">
        <v>85</v>
      </c>
      <c r="X330" s="20" t="str">
        <f>IFERROR(($N$24-N330)/W330,"")</f>
        <v/>
      </c>
      <c r="Y330" s="15" t="str">
        <f>IFERROR(($O$24-O330)/W330,"")</f>
        <v/>
      </c>
      <c r="Z330" s="15" t="str">
        <f>IFERROR(($P$24-P330)/W330,"")</f>
        <v/>
      </c>
      <c r="AA330" s="15" t="str">
        <f>IFERROR(($Q$24-Q330)/W330,"")</f>
        <v/>
      </c>
      <c r="AB330" s="15" t="str">
        <f>IFERROR(($R$24-R330)/W330,"")</f>
        <v/>
      </c>
      <c r="AC330" s="15" t="str">
        <f>IFERROR(($S$24-S330)/W330,"")</f>
        <v/>
      </c>
      <c r="AD330" s="20" t="str">
        <f t="shared" si="1504"/>
        <v/>
      </c>
      <c r="AE330" s="40" t="str">
        <f t="shared" si="1505"/>
        <v/>
      </c>
      <c r="AG330" s="229"/>
      <c r="AH330" s="77">
        <f>'Sample ID'!$F$15</f>
        <v>0</v>
      </c>
      <c r="AI330" s="77" t="str">
        <f>IFERROR((X330*$AH$42),"")</f>
        <v/>
      </c>
      <c r="AJ330" s="77" t="str">
        <f t="shared" ref="AJ330" si="1512">IFERROR((Y330*$AH$42),"")</f>
        <v/>
      </c>
      <c r="AK330" s="77" t="str">
        <f t="shared" ref="AK330" si="1513">IFERROR((Z330*$AH$42),"")</f>
        <v/>
      </c>
      <c r="AL330" s="77" t="str">
        <f t="shared" ref="AL330" si="1514">IFERROR((AA330*$AH$42),"")</f>
        <v/>
      </c>
      <c r="AM330" s="77" t="str">
        <f t="shared" ref="AM330" si="1515">IFERROR((AB330*$AH$42),"")</f>
        <v/>
      </c>
      <c r="AN330" s="77" t="str">
        <f t="shared" ref="AN330" si="1516">IFERROR((AC330*$AH$42),"")</f>
        <v/>
      </c>
      <c r="AO330" s="40" t="str">
        <f t="shared" ref="AO330:AO336" si="1517">IFERROR(AVERAGE(AI330:AN330),"")</f>
        <v/>
      </c>
      <c r="AP330" s="40" t="str">
        <f t="shared" si="1511"/>
        <v/>
      </c>
      <c r="AQ330" s="15"/>
      <c r="AR330" s="15"/>
    </row>
    <row r="331" spans="3:44">
      <c r="C331" s="232"/>
      <c r="D331" s="21" t="s">
        <v>18</v>
      </c>
      <c r="E331" s="22">
        <f>Data!H221</f>
        <v>0</v>
      </c>
      <c r="F331" s="22">
        <f>Data!I221</f>
        <v>0</v>
      </c>
      <c r="G331" s="22">
        <f>Data!J221</f>
        <v>0</v>
      </c>
      <c r="H331" s="22">
        <f>Data!K221</f>
        <v>0</v>
      </c>
      <c r="I331" s="22">
        <f>Data!L221</f>
        <v>0</v>
      </c>
      <c r="J331" s="22">
        <f>Data!M221</f>
        <v>0</v>
      </c>
      <c r="K331" s="22"/>
      <c r="L331" s="232"/>
      <c r="M331" s="130" t="s">
        <v>18</v>
      </c>
      <c r="N331" s="15" t="str">
        <f t="shared" si="1503"/>
        <v xml:space="preserve"> </v>
      </c>
      <c r="O331" s="15" t="str">
        <f t="shared" si="1503"/>
        <v xml:space="preserve"> </v>
      </c>
      <c r="P331" s="15" t="str">
        <f t="shared" si="1503"/>
        <v xml:space="preserve"> </v>
      </c>
      <c r="Q331" s="15" t="str">
        <f t="shared" si="1503"/>
        <v xml:space="preserve"> </v>
      </c>
      <c r="R331" s="15" t="str">
        <f t="shared" si="1503"/>
        <v xml:space="preserve"> </v>
      </c>
      <c r="S331" s="15" t="str">
        <f t="shared" si="1503"/>
        <v xml:space="preserve"> </v>
      </c>
      <c r="T331" s="20" t="str">
        <f t="shared" si="1375"/>
        <v/>
      </c>
      <c r="U331" s="40" t="str">
        <f t="shared" si="1376"/>
        <v/>
      </c>
      <c r="V331" s="109"/>
      <c r="W331" s="110">
        <v>85</v>
      </c>
      <c r="X331" s="20" t="str">
        <f>IFERROR(($N$25-N331)/W331,"")</f>
        <v/>
      </c>
      <c r="Y331" s="15" t="str">
        <f>IFERROR(($O$25-O331)/W331,"")</f>
        <v/>
      </c>
      <c r="Z331" s="15" t="str">
        <f>IFERROR(($P$25-P331)/W331,"")</f>
        <v/>
      </c>
      <c r="AA331" s="15" t="str">
        <f>IFERROR(($Q$25-Q331)/W331,"")</f>
        <v/>
      </c>
      <c r="AB331" s="15" t="str">
        <f>IFERROR(($R$25-R331)/W331,"")</f>
        <v/>
      </c>
      <c r="AC331" s="15" t="str">
        <f>IFERROR(($S$25-S331)/W331,"")</f>
        <v/>
      </c>
      <c r="AD331" s="20" t="str">
        <f>IFERROR(AVERAGE(X331:AC331), "")</f>
        <v/>
      </c>
      <c r="AE331" s="40" t="str">
        <f>IFERROR(STDEV(X331:AC331), "")</f>
        <v/>
      </c>
      <c r="AG331" s="229"/>
      <c r="AH331" s="77">
        <f>'Sample ID'!$F$16</f>
        <v>0</v>
      </c>
      <c r="AI331" s="77" t="str">
        <f>IFERROR((X331*$AH$43),"")</f>
        <v/>
      </c>
      <c r="AJ331" s="77" t="str">
        <f t="shared" ref="AJ331" si="1518">IFERROR((Y331*$AH$43),"")</f>
        <v/>
      </c>
      <c r="AK331" s="77" t="str">
        <f t="shared" ref="AK331" si="1519">IFERROR((Z331*$AH$43),"")</f>
        <v/>
      </c>
      <c r="AL331" s="77" t="str">
        <f t="shared" ref="AL331" si="1520">IFERROR((AA331*$AH$43),"")</f>
        <v/>
      </c>
      <c r="AM331" s="77" t="str">
        <f t="shared" ref="AM331" si="1521">IFERROR((AB331*$AH$43),"")</f>
        <v/>
      </c>
      <c r="AN331" s="77" t="str">
        <f t="shared" ref="AN331" si="1522">IFERROR((AC331*$AH$43),"")</f>
        <v/>
      </c>
      <c r="AO331" s="40" t="str">
        <f t="shared" si="1517"/>
        <v/>
      </c>
      <c r="AP331" s="40" t="str">
        <f>IFERROR(STDEV(AI331:AN331), "")</f>
        <v/>
      </c>
      <c r="AQ331" s="15"/>
      <c r="AR331" s="15"/>
    </row>
    <row r="332" spans="3:44">
      <c r="C332" s="232"/>
      <c r="D332" s="21" t="s">
        <v>19</v>
      </c>
      <c r="E332" s="22">
        <f>Data!H222</f>
        <v>0</v>
      </c>
      <c r="F332" s="22">
        <f>Data!I222</f>
        <v>0</v>
      </c>
      <c r="G332" s="22">
        <f>Data!J222</f>
        <v>0</v>
      </c>
      <c r="H332" s="22">
        <f>Data!K222</f>
        <v>0</v>
      </c>
      <c r="I332" s="22">
        <f>Data!L222</f>
        <v>0</v>
      </c>
      <c r="J332" s="22">
        <f>Data!M222</f>
        <v>0</v>
      </c>
      <c r="K332" s="22"/>
      <c r="L332" s="232"/>
      <c r="M332" s="130" t="s">
        <v>19</v>
      </c>
      <c r="N332" s="15" t="str">
        <f t="shared" si="1503"/>
        <v xml:space="preserve"> </v>
      </c>
      <c r="O332" s="15" t="str">
        <f t="shared" si="1503"/>
        <v xml:space="preserve"> </v>
      </c>
      <c r="P332" s="15" t="str">
        <f t="shared" si="1503"/>
        <v xml:space="preserve"> </v>
      </c>
      <c r="Q332" s="15" t="str">
        <f t="shared" si="1503"/>
        <v xml:space="preserve"> </v>
      </c>
      <c r="R332" s="15" t="str">
        <f t="shared" si="1503"/>
        <v xml:space="preserve"> </v>
      </c>
      <c r="S332" s="15" t="str">
        <f t="shared" si="1503"/>
        <v xml:space="preserve"> </v>
      </c>
      <c r="T332" s="20" t="str">
        <f t="shared" si="1375"/>
        <v/>
      </c>
      <c r="U332" s="40" t="str">
        <f t="shared" si="1376"/>
        <v/>
      </c>
      <c r="V332" s="109"/>
      <c r="W332" s="110">
        <v>85</v>
      </c>
      <c r="X332" s="20" t="str">
        <f>IFERROR(($N$26-N332)/W332,"")</f>
        <v/>
      </c>
      <c r="Y332" s="15" t="str">
        <f>IFERROR(($O$26-O332)/W332,"")</f>
        <v/>
      </c>
      <c r="Z332" s="15" t="str">
        <f>IFERROR(($P$26-P332)/W332,"")</f>
        <v/>
      </c>
      <c r="AA332" s="15" t="str">
        <f>IFERROR(($Q$17-Q332)/W332,"")</f>
        <v/>
      </c>
      <c r="AB332" s="15" t="str">
        <f>IFERROR(($R$26-R332)/W332,"")</f>
        <v/>
      </c>
      <c r="AC332" s="15" t="str">
        <f>IFERROR(($S$26-S332)/W332,"")</f>
        <v/>
      </c>
      <c r="AD332" s="20" t="str">
        <f t="shared" ref="AD332:AD335" si="1523">IFERROR(AVERAGE(X332:AC332), "")</f>
        <v/>
      </c>
      <c r="AE332" s="40" t="str">
        <f t="shared" ref="AE332:AE336" si="1524">IFERROR(STDEV(X332:AC332), "")</f>
        <v/>
      </c>
      <c r="AG332" s="229"/>
      <c r="AH332" s="77">
        <f>'Sample ID'!$F$17</f>
        <v>0</v>
      </c>
      <c r="AI332" s="77" t="str">
        <f>IFERROR((X332*$AH$44),"")</f>
        <v/>
      </c>
      <c r="AJ332" s="77" t="str">
        <f t="shared" ref="AJ332" si="1525">IFERROR((Y332*$AH$44),"")</f>
        <v/>
      </c>
      <c r="AK332" s="77" t="str">
        <f t="shared" ref="AK332" si="1526">IFERROR((Z332*$AH$44),"")</f>
        <v/>
      </c>
      <c r="AL332" s="77" t="str">
        <f t="shared" ref="AL332" si="1527">IFERROR((AA332*$AH$44),"")</f>
        <v/>
      </c>
      <c r="AM332" s="77" t="str">
        <f t="shared" ref="AM332" si="1528">IFERROR((AB332*$AH$44),"")</f>
        <v/>
      </c>
      <c r="AN332" s="77" t="str">
        <f t="shared" ref="AN332" si="1529">IFERROR((AC332*$AH$44),"")</f>
        <v/>
      </c>
      <c r="AO332" s="40" t="str">
        <f t="shared" si="1517"/>
        <v/>
      </c>
      <c r="AP332" s="40" t="str">
        <f t="shared" ref="AP332:AP336" si="1530">IFERROR(STDEV(AI332:AN332), "")</f>
        <v/>
      </c>
      <c r="AQ332" s="15"/>
      <c r="AR332" s="15"/>
    </row>
    <row r="333" spans="3:44">
      <c r="C333" s="232"/>
      <c r="D333" s="21" t="s">
        <v>20</v>
      </c>
      <c r="E333" s="22">
        <f>Data!H223</f>
        <v>0</v>
      </c>
      <c r="F333" s="22">
        <f>Data!I223</f>
        <v>0</v>
      </c>
      <c r="G333" s="22">
        <f>Data!J223</f>
        <v>0</v>
      </c>
      <c r="H333" s="22">
        <f>Data!K223</f>
        <v>0</v>
      </c>
      <c r="I333" s="22">
        <f>Data!L223</f>
        <v>0</v>
      </c>
      <c r="J333" s="22">
        <f>Data!M223</f>
        <v>0</v>
      </c>
      <c r="K333" s="22"/>
      <c r="L333" s="232"/>
      <c r="M333" s="130" t="s">
        <v>20</v>
      </c>
      <c r="N333" s="15" t="str">
        <f t="shared" si="1503"/>
        <v xml:space="preserve"> </v>
      </c>
      <c r="O333" s="15" t="str">
        <f t="shared" si="1503"/>
        <v xml:space="preserve"> </v>
      </c>
      <c r="P333" s="15" t="str">
        <f t="shared" si="1503"/>
        <v xml:space="preserve"> </v>
      </c>
      <c r="Q333" s="15" t="str">
        <f t="shared" si="1503"/>
        <v xml:space="preserve"> </v>
      </c>
      <c r="R333" s="15" t="str">
        <f t="shared" si="1503"/>
        <v xml:space="preserve"> </v>
      </c>
      <c r="S333" s="15" t="str">
        <f t="shared" si="1503"/>
        <v xml:space="preserve"> </v>
      </c>
      <c r="T333" s="20" t="str">
        <f t="shared" si="1375"/>
        <v/>
      </c>
      <c r="U333" s="40" t="str">
        <f t="shared" si="1376"/>
        <v/>
      </c>
      <c r="V333" s="109"/>
      <c r="W333" s="110">
        <v>85</v>
      </c>
      <c r="X333" s="20" t="str">
        <f>IFERROR(($N$27-N333)/W333,"")</f>
        <v/>
      </c>
      <c r="Y333" s="15" t="str">
        <f>IFERROR(($O$27-O333)/W333,"")</f>
        <v/>
      </c>
      <c r="Z333" s="15" t="str">
        <f>IFERROR(($P$27-P333)/W333,"")</f>
        <v/>
      </c>
      <c r="AA333" s="15" t="str">
        <f>IFERROR(($Q$18-Q333)/W333,"")</f>
        <v/>
      </c>
      <c r="AB333" s="15" t="str">
        <f>IFERROR(($R$27-R333)/W333,"")</f>
        <v/>
      </c>
      <c r="AC333" s="15" t="str">
        <f>IFERROR(($S$27-S333)/W333,"")</f>
        <v/>
      </c>
      <c r="AD333" s="20" t="str">
        <f t="shared" si="1523"/>
        <v/>
      </c>
      <c r="AE333" s="40" t="str">
        <f t="shared" si="1524"/>
        <v/>
      </c>
      <c r="AG333" s="229"/>
      <c r="AH333" s="77">
        <f>'Sample ID'!$F$18</f>
        <v>0</v>
      </c>
      <c r="AI333" s="77" t="str">
        <f>IFERROR((X333*$AH$45),"")</f>
        <v/>
      </c>
      <c r="AJ333" s="77" t="str">
        <f t="shared" ref="AJ333" si="1531">IFERROR((Y333*$AH$45),"")</f>
        <v/>
      </c>
      <c r="AK333" s="77" t="str">
        <f t="shared" ref="AK333" si="1532">IFERROR((Z333*$AH$45),"")</f>
        <v/>
      </c>
      <c r="AL333" s="77" t="str">
        <f t="shared" ref="AL333" si="1533">IFERROR((AA333*$AH$45),"")</f>
        <v/>
      </c>
      <c r="AM333" s="77" t="str">
        <f t="shared" ref="AM333" si="1534">IFERROR((AB333*$AH$45),"")</f>
        <v/>
      </c>
      <c r="AN333" s="77" t="str">
        <f t="shared" ref="AN333" si="1535">IFERROR((AC333*$AH$45),"")</f>
        <v/>
      </c>
      <c r="AO333" s="40" t="str">
        <f t="shared" si="1517"/>
        <v/>
      </c>
      <c r="AP333" s="40" t="str">
        <f t="shared" si="1530"/>
        <v/>
      </c>
      <c r="AQ333" s="15"/>
      <c r="AR333" s="15"/>
    </row>
    <row r="334" spans="3:44">
      <c r="C334" s="232"/>
      <c r="D334" s="21" t="s">
        <v>21</v>
      </c>
      <c r="E334" s="22">
        <f>Data!H224</f>
        <v>0</v>
      </c>
      <c r="F334" s="22">
        <f>Data!I224</f>
        <v>0</v>
      </c>
      <c r="G334" s="22">
        <f>Data!J224</f>
        <v>0</v>
      </c>
      <c r="H334" s="22">
        <f>Data!K224</f>
        <v>0</v>
      </c>
      <c r="I334" s="22">
        <f>Data!L224</f>
        <v>0</v>
      </c>
      <c r="J334" s="22">
        <f>Data!M224</f>
        <v>0</v>
      </c>
      <c r="K334" s="22"/>
      <c r="L334" s="232"/>
      <c r="M334" s="130" t="s">
        <v>21</v>
      </c>
      <c r="N334" s="15" t="str">
        <f t="shared" si="1503"/>
        <v xml:space="preserve"> </v>
      </c>
      <c r="O334" s="15" t="str">
        <f t="shared" si="1503"/>
        <v xml:space="preserve"> </v>
      </c>
      <c r="P334" s="15" t="str">
        <f t="shared" si="1503"/>
        <v xml:space="preserve"> </v>
      </c>
      <c r="Q334" s="15" t="str">
        <f t="shared" si="1503"/>
        <v xml:space="preserve"> </v>
      </c>
      <c r="R334" s="15" t="str">
        <f t="shared" si="1503"/>
        <v xml:space="preserve"> </v>
      </c>
      <c r="S334" s="15" t="str">
        <f t="shared" si="1503"/>
        <v xml:space="preserve"> </v>
      </c>
      <c r="T334" s="20" t="str">
        <f t="shared" si="1375"/>
        <v/>
      </c>
      <c r="U334" s="40" t="str">
        <f t="shared" si="1376"/>
        <v/>
      </c>
      <c r="V334" s="109"/>
      <c r="W334" s="110">
        <v>85</v>
      </c>
      <c r="X334" s="20" t="str">
        <f>IFERROR(($N$28-N334)/W334,"")</f>
        <v/>
      </c>
      <c r="Y334" s="15" t="str">
        <f>IFERROR(($O$28-O334)/W334,"")</f>
        <v/>
      </c>
      <c r="Z334" s="15" t="str">
        <f>IFERROR(($P$28-P334)/W334,"")</f>
        <v/>
      </c>
      <c r="AA334" s="15" t="str">
        <f>IFERROR(($Q$19-Q334)/W334,"")</f>
        <v/>
      </c>
      <c r="AB334" s="15" t="str">
        <f>IFERROR(($R$28-R334)/W334,"")</f>
        <v/>
      </c>
      <c r="AC334" s="15" t="str">
        <f>IFERROR(($S$28-S334)/W334,"")</f>
        <v/>
      </c>
      <c r="AD334" s="20" t="str">
        <f t="shared" si="1523"/>
        <v/>
      </c>
      <c r="AE334" s="40" t="str">
        <f t="shared" si="1524"/>
        <v/>
      </c>
      <c r="AG334" s="229"/>
      <c r="AH334" s="77">
        <f>'Sample ID'!$F$19</f>
        <v>0</v>
      </c>
      <c r="AI334" s="77" t="str">
        <f>IFERROR((X334*$AH$46),"")</f>
        <v/>
      </c>
      <c r="AJ334" s="77" t="str">
        <f t="shared" ref="AJ334" si="1536">IFERROR((Y334*$AH$46),"")</f>
        <v/>
      </c>
      <c r="AK334" s="77" t="str">
        <f t="shared" ref="AK334" si="1537">IFERROR((Z334*$AH$46),"")</f>
        <v/>
      </c>
      <c r="AL334" s="77" t="str">
        <f t="shared" ref="AL334" si="1538">IFERROR((AA334*$AH$46),"")</f>
        <v/>
      </c>
      <c r="AM334" s="77" t="str">
        <f t="shared" ref="AM334" si="1539">IFERROR((AB334*$AH$46),"")</f>
        <v/>
      </c>
      <c r="AN334" s="77" t="str">
        <f t="shared" ref="AN334" si="1540">IFERROR((AC334*$AH$46),"")</f>
        <v/>
      </c>
      <c r="AO334" s="40" t="str">
        <f t="shared" si="1517"/>
        <v/>
      </c>
      <c r="AP334" s="40" t="str">
        <f t="shared" si="1530"/>
        <v/>
      </c>
      <c r="AQ334" s="15"/>
      <c r="AR334" s="15"/>
    </row>
    <row r="335" spans="3:44">
      <c r="C335" s="232"/>
      <c r="D335" s="21" t="s">
        <v>22</v>
      </c>
      <c r="E335" s="22">
        <f>Data!H225</f>
        <v>0</v>
      </c>
      <c r="F335" s="22">
        <f>Data!I225</f>
        <v>0</v>
      </c>
      <c r="G335" s="22">
        <f>Data!J225</f>
        <v>0</v>
      </c>
      <c r="H335" s="22">
        <f>Data!K225</f>
        <v>0</v>
      </c>
      <c r="I335" s="22">
        <f>Data!L225</f>
        <v>0</v>
      </c>
      <c r="J335" s="22">
        <f>Data!M225</f>
        <v>0</v>
      </c>
      <c r="K335" s="22"/>
      <c r="L335" s="232"/>
      <c r="M335" s="130" t="s">
        <v>22</v>
      </c>
      <c r="N335" s="15" t="str">
        <f t="shared" si="1503"/>
        <v xml:space="preserve"> </v>
      </c>
      <c r="O335" s="15" t="str">
        <f t="shared" si="1503"/>
        <v xml:space="preserve"> </v>
      </c>
      <c r="P335" s="15" t="str">
        <f t="shared" si="1503"/>
        <v xml:space="preserve"> </v>
      </c>
      <c r="Q335" s="15" t="str">
        <f t="shared" si="1503"/>
        <v xml:space="preserve"> </v>
      </c>
      <c r="R335" s="15" t="str">
        <f t="shared" si="1503"/>
        <v xml:space="preserve"> </v>
      </c>
      <c r="S335" s="15" t="str">
        <f t="shared" si="1503"/>
        <v xml:space="preserve"> </v>
      </c>
      <c r="T335" s="20" t="str">
        <f t="shared" si="1375"/>
        <v/>
      </c>
      <c r="U335" s="40" t="str">
        <f t="shared" si="1376"/>
        <v/>
      </c>
      <c r="V335" s="109"/>
      <c r="W335" s="110">
        <v>85</v>
      </c>
      <c r="X335" s="20" t="str">
        <f>IFERROR(($N$29-N335)/W335,"")</f>
        <v/>
      </c>
      <c r="Y335" s="15" t="str">
        <f>IFERROR(($O$29-O335)/W335,"")</f>
        <v/>
      </c>
      <c r="Z335" s="15" t="str">
        <f>IFERROR(($P$29-P335)/W335,"")</f>
        <v/>
      </c>
      <c r="AA335" s="15" t="str">
        <f>IFERROR(($Q$20-Q335)/W335,"")</f>
        <v/>
      </c>
      <c r="AB335" s="15" t="str">
        <f>IFERROR(($R$29-R335)/W335,"")</f>
        <v/>
      </c>
      <c r="AC335" s="15" t="str">
        <f>IFERROR(($S$29-S335)/W335,"")</f>
        <v/>
      </c>
      <c r="AD335" s="20" t="str">
        <f t="shared" si="1523"/>
        <v/>
      </c>
      <c r="AE335" s="40" t="str">
        <f t="shared" si="1524"/>
        <v/>
      </c>
      <c r="AG335" s="229"/>
      <c r="AH335" s="77">
        <f>'Sample ID'!$F$20</f>
        <v>0</v>
      </c>
      <c r="AI335" s="77" t="str">
        <f>IFERROR((X335*$AH$47),"")</f>
        <v/>
      </c>
      <c r="AJ335" s="77" t="str">
        <f t="shared" ref="AJ335" si="1541">IFERROR((Y335*$AH$47),"")</f>
        <v/>
      </c>
      <c r="AK335" s="77" t="str">
        <f t="shared" ref="AK335" si="1542">IFERROR((Z335*$AH$47),"")</f>
        <v/>
      </c>
      <c r="AL335" s="77" t="str">
        <f t="shared" ref="AL335" si="1543">IFERROR((AA335*$AH$47),"")</f>
        <v/>
      </c>
      <c r="AM335" s="77" t="str">
        <f t="shared" ref="AM335" si="1544">IFERROR((AB335*$AH$47),"")</f>
        <v/>
      </c>
      <c r="AN335" s="77" t="str">
        <f t="shared" ref="AN335" si="1545">IFERROR((AC335*$AH$47),"")</f>
        <v/>
      </c>
      <c r="AO335" s="40" t="str">
        <f t="shared" si="1517"/>
        <v/>
      </c>
      <c r="AP335" s="40" t="str">
        <f t="shared" si="1530"/>
        <v/>
      </c>
      <c r="AQ335" s="15"/>
      <c r="AR335" s="15"/>
    </row>
    <row r="336" spans="3:44">
      <c r="C336" s="232"/>
      <c r="D336" s="21" t="s">
        <v>23</v>
      </c>
      <c r="E336" s="22">
        <f>Data!H226</f>
        <v>0</v>
      </c>
      <c r="F336" s="22">
        <f>Data!I226</f>
        <v>0</v>
      </c>
      <c r="G336" s="22">
        <f>Data!J226</f>
        <v>0</v>
      </c>
      <c r="H336" s="22">
        <f>Data!K226</f>
        <v>0</v>
      </c>
      <c r="I336" s="22">
        <f>Data!L226</f>
        <v>0</v>
      </c>
      <c r="J336" s="22">
        <f>Data!M226</f>
        <v>0</v>
      </c>
      <c r="K336" s="22"/>
      <c r="L336" s="232"/>
      <c r="M336" s="130" t="s">
        <v>23</v>
      </c>
      <c r="N336" s="15" t="str">
        <f t="shared" si="1503"/>
        <v xml:space="preserve"> </v>
      </c>
      <c r="O336" s="15" t="str">
        <f t="shared" si="1503"/>
        <v xml:space="preserve"> </v>
      </c>
      <c r="P336" s="15" t="str">
        <f t="shared" si="1503"/>
        <v xml:space="preserve"> </v>
      </c>
      <c r="Q336" s="15" t="str">
        <f t="shared" si="1503"/>
        <v xml:space="preserve"> </v>
      </c>
      <c r="R336" s="15" t="str">
        <f t="shared" si="1503"/>
        <v xml:space="preserve"> </v>
      </c>
      <c r="S336" s="15" t="str">
        <f t="shared" si="1503"/>
        <v xml:space="preserve"> </v>
      </c>
      <c r="T336" s="20" t="str">
        <f t="shared" si="1375"/>
        <v/>
      </c>
      <c r="U336" s="40" t="str">
        <f t="shared" si="1376"/>
        <v/>
      </c>
      <c r="V336" s="109"/>
      <c r="W336" s="110">
        <v>85</v>
      </c>
      <c r="X336" s="20" t="str">
        <f>IFERROR(($N$30-N336)/W336,"")</f>
        <v/>
      </c>
      <c r="Y336" s="15" t="str">
        <f>IFERROR(($O$30-O336)/W336,"")</f>
        <v/>
      </c>
      <c r="Z336" s="15" t="str">
        <f>IFERROR(($P$30-P336)/W336,"")</f>
        <v/>
      </c>
      <c r="AA336" s="15" t="str">
        <f>IFERROR(($Q$21-Q336)/W336,"")</f>
        <v/>
      </c>
      <c r="AB336" s="17" t="str">
        <f>IFERROR(($R$30-R336)/W336,"")</f>
        <v/>
      </c>
      <c r="AC336" s="15" t="str">
        <f>IFERROR(($S$30-S336)/W336,"")</f>
        <v/>
      </c>
      <c r="AD336" s="20" t="str">
        <f>IFERROR(AVERAGE(X336:AC336), "")</f>
        <v/>
      </c>
      <c r="AE336" s="40" t="str">
        <f t="shared" si="1524"/>
        <v/>
      </c>
      <c r="AG336" s="230"/>
      <c r="AH336" s="77">
        <f>'Sample ID'!$F$21</f>
        <v>0</v>
      </c>
      <c r="AI336" s="77" t="str">
        <f>IFERROR((X336*$AH$48),"")</f>
        <v/>
      </c>
      <c r="AJ336" s="77" t="str">
        <f t="shared" ref="AJ336" si="1546">IFERROR((Y336*$AH$48),"")</f>
        <v/>
      </c>
      <c r="AK336" s="77" t="str">
        <f t="shared" ref="AK336" si="1547">IFERROR((Z336*$AH$48),"")</f>
        <v/>
      </c>
      <c r="AL336" s="77" t="str">
        <f t="shared" ref="AL336" si="1548">IFERROR((AA336*$AH$48),"")</f>
        <v/>
      </c>
      <c r="AM336" s="77" t="str">
        <f t="shared" ref="AM336" si="1549">IFERROR((AB336*$AH$48),"")</f>
        <v/>
      </c>
      <c r="AN336" s="77" t="str">
        <f t="shared" ref="AN336" si="1550">IFERROR((AC336*$AH$48),"")</f>
        <v/>
      </c>
      <c r="AO336" s="40" t="str">
        <f t="shared" si="1517"/>
        <v/>
      </c>
      <c r="AP336" s="40" t="str">
        <f t="shared" si="1530"/>
        <v/>
      </c>
      <c r="AQ336" s="15"/>
      <c r="AR336" s="15"/>
    </row>
    <row r="337" spans="3:44">
      <c r="C337" s="232">
        <v>90</v>
      </c>
      <c r="D337" s="50"/>
      <c r="E337" s="58">
        <v>1</v>
      </c>
      <c r="F337" s="58">
        <v>2</v>
      </c>
      <c r="G337" s="59">
        <v>3</v>
      </c>
      <c r="H337" s="56">
        <v>4</v>
      </c>
      <c r="I337" s="56">
        <v>5</v>
      </c>
      <c r="J337" s="57">
        <v>6</v>
      </c>
      <c r="K337" s="27"/>
      <c r="L337" s="232">
        <v>90</v>
      </c>
      <c r="M337" s="38"/>
      <c r="N337" s="59">
        <v>1</v>
      </c>
      <c r="O337" s="38">
        <v>2</v>
      </c>
      <c r="P337" s="38">
        <v>3</v>
      </c>
      <c r="Q337" s="38">
        <v>4</v>
      </c>
      <c r="R337" s="38">
        <v>5</v>
      </c>
      <c r="S337" s="50">
        <v>6</v>
      </c>
      <c r="T337" s="38" t="s">
        <v>24</v>
      </c>
      <c r="U337" s="51" t="s">
        <v>3</v>
      </c>
      <c r="V337" s="109"/>
      <c r="W337" s="38" t="s">
        <v>34</v>
      </c>
      <c r="X337" s="38">
        <v>1</v>
      </c>
      <c r="Y337" s="38">
        <v>2</v>
      </c>
      <c r="Z337" s="38">
        <v>3</v>
      </c>
      <c r="AA337" s="38">
        <v>4</v>
      </c>
      <c r="AB337" s="38">
        <v>5</v>
      </c>
      <c r="AC337" s="50">
        <v>6</v>
      </c>
      <c r="AD337" s="50" t="s">
        <v>49</v>
      </c>
      <c r="AE337" s="51" t="s">
        <v>3</v>
      </c>
      <c r="AF337" s="69"/>
      <c r="AG337" s="231">
        <v>90</v>
      </c>
      <c r="AH337" s="38" t="s">
        <v>35</v>
      </c>
      <c r="AI337" s="38"/>
      <c r="AJ337" s="38"/>
      <c r="AK337" s="38"/>
      <c r="AL337" s="38"/>
      <c r="AM337" s="38"/>
      <c r="AN337" s="38"/>
      <c r="AO337" s="52" t="s">
        <v>36</v>
      </c>
      <c r="AP337" s="51" t="s">
        <v>3</v>
      </c>
      <c r="AQ337" s="15"/>
      <c r="AR337" s="15"/>
    </row>
    <row r="338" spans="3:44">
      <c r="C338" s="232"/>
      <c r="D338" s="21" t="s">
        <v>16</v>
      </c>
      <c r="E338" s="22">
        <f>Data!B231</f>
        <v>0</v>
      </c>
      <c r="F338" s="22">
        <f>Data!C231</f>
        <v>0</v>
      </c>
      <c r="G338" s="22">
        <f>Data!D231</f>
        <v>0</v>
      </c>
      <c r="H338" s="22">
        <f>Data!E231</f>
        <v>0</v>
      </c>
      <c r="I338" s="22">
        <f>Data!F231</f>
        <v>0</v>
      </c>
      <c r="J338" s="22">
        <f>Data!G231</f>
        <v>0</v>
      </c>
      <c r="K338" s="22"/>
      <c r="L338" s="232"/>
      <c r="M338" s="130" t="s">
        <v>16</v>
      </c>
      <c r="N338" s="15" t="str">
        <f t="shared" ref="N338:S345" si="1551">IF(((E338-$P$11)/$P$10)&gt;0,((E338-$P$11)/$P$10)," ")</f>
        <v xml:space="preserve"> </v>
      </c>
      <c r="O338" s="15" t="str">
        <f t="shared" si="1551"/>
        <v xml:space="preserve"> </v>
      </c>
      <c r="P338" s="15" t="str">
        <f t="shared" si="1551"/>
        <v xml:space="preserve"> </v>
      </c>
      <c r="Q338" s="15" t="str">
        <f t="shared" si="1551"/>
        <v xml:space="preserve"> </v>
      </c>
      <c r="R338" s="15" t="str">
        <f t="shared" si="1551"/>
        <v xml:space="preserve"> </v>
      </c>
      <c r="S338" s="15" t="str">
        <f t="shared" si="1551"/>
        <v xml:space="preserve"> </v>
      </c>
      <c r="T338" s="20" t="str">
        <f t="shared" ref="T338:T354" si="1552">IFERROR(AVERAGE(N338:S338),"")</f>
        <v/>
      </c>
      <c r="U338" s="40" t="str">
        <f t="shared" ref="U338:U354" si="1553">IFERROR(STDEV(N338:S338),"")</f>
        <v/>
      </c>
      <c r="V338" s="109"/>
      <c r="W338" s="110">
        <v>90</v>
      </c>
      <c r="X338" s="20" t="str">
        <f>IFERROR(($N$14-N338)/W338,"")</f>
        <v/>
      </c>
      <c r="Y338" s="15" t="str">
        <f>IFERROR(($O$14-O338)/W338,"")</f>
        <v/>
      </c>
      <c r="Z338" s="15" t="str">
        <f>IFERROR(($P$14-P338)/W338,"")</f>
        <v/>
      </c>
      <c r="AA338" s="15" t="str">
        <f>IFERROR(($Q$14-Q338)/W338,"")</f>
        <v/>
      </c>
      <c r="AB338" s="15" t="str">
        <f>IFERROR(($R$14-R338)/W338,"")</f>
        <v/>
      </c>
      <c r="AC338" s="15" t="str">
        <f>IFERROR(($S$14-S338)/W338,"")</f>
        <v/>
      </c>
      <c r="AD338" s="20" t="str">
        <f>IFERROR(AVERAGE(X338:AC338), "")</f>
        <v/>
      </c>
      <c r="AE338" s="40" t="str">
        <f>IFERROR(STDEV(X338:AC338), "")</f>
        <v/>
      </c>
      <c r="AG338" s="229"/>
      <c r="AH338" s="76">
        <f>'Sample ID'!$F$6</f>
        <v>1</v>
      </c>
      <c r="AI338" s="77" t="str">
        <f>IFERROR((X338*$AH$32),"")</f>
        <v/>
      </c>
      <c r="AJ338" s="77" t="str">
        <f t="shared" ref="AJ338" si="1554">IFERROR((Y338*$AH$32),"")</f>
        <v/>
      </c>
      <c r="AK338" s="77" t="str">
        <f t="shared" ref="AK338" si="1555">IFERROR((Z338*$AH$32),"")</f>
        <v/>
      </c>
      <c r="AL338" s="77" t="str">
        <f t="shared" ref="AL338" si="1556">IFERROR((AA338*$AH$32),"")</f>
        <v/>
      </c>
      <c r="AM338" s="77" t="str">
        <f t="shared" ref="AM338" si="1557">IFERROR((AB338*$AH$32),"")</f>
        <v/>
      </c>
      <c r="AN338" s="77" t="str">
        <f t="shared" ref="AN338" si="1558">IFERROR((AC338*$AH$32),"")</f>
        <v/>
      </c>
      <c r="AO338" s="40" t="str">
        <f>IFERROR(AVERAGE(AI338:AN338),"")</f>
        <v/>
      </c>
      <c r="AP338" s="40" t="str">
        <f>IFERROR(STDEV(AI338:AN338), "")</f>
        <v/>
      </c>
      <c r="AQ338" s="15"/>
      <c r="AR338" s="15"/>
    </row>
    <row r="339" spans="3:44">
      <c r="C339" s="232"/>
      <c r="D339" s="21" t="s">
        <v>17</v>
      </c>
      <c r="E339" s="22">
        <f>Data!B232</f>
        <v>0</v>
      </c>
      <c r="F339" s="22">
        <f>Data!C232</f>
        <v>0</v>
      </c>
      <c r="G339" s="22">
        <f>Data!D232</f>
        <v>0</v>
      </c>
      <c r="H339" s="22">
        <f>Data!E232</f>
        <v>0</v>
      </c>
      <c r="I339" s="22">
        <f>Data!F232</f>
        <v>0</v>
      </c>
      <c r="J339" s="22">
        <f>Data!G232</f>
        <v>0</v>
      </c>
      <c r="K339" s="22"/>
      <c r="L339" s="232"/>
      <c r="M339" s="130" t="s">
        <v>17</v>
      </c>
      <c r="N339" s="15" t="str">
        <f t="shared" si="1551"/>
        <v xml:space="preserve"> </v>
      </c>
      <c r="O339" s="15" t="str">
        <f t="shared" si="1551"/>
        <v xml:space="preserve"> </v>
      </c>
      <c r="P339" s="15" t="str">
        <f t="shared" si="1551"/>
        <v xml:space="preserve"> </v>
      </c>
      <c r="Q339" s="15" t="str">
        <f t="shared" si="1551"/>
        <v xml:space="preserve"> </v>
      </c>
      <c r="R339" s="15" t="str">
        <f t="shared" si="1551"/>
        <v xml:space="preserve"> </v>
      </c>
      <c r="S339" s="15" t="str">
        <f t="shared" si="1551"/>
        <v xml:space="preserve"> </v>
      </c>
      <c r="T339" s="20" t="str">
        <f t="shared" si="1552"/>
        <v/>
      </c>
      <c r="U339" s="40" t="str">
        <f t="shared" si="1553"/>
        <v/>
      </c>
      <c r="V339" s="109"/>
      <c r="W339" s="110">
        <v>90</v>
      </c>
      <c r="X339" s="20" t="str">
        <f>IFERROR(($N$15-N339)/W339,"")</f>
        <v/>
      </c>
      <c r="Y339" s="15" t="str">
        <f>IFERROR(($O$15-O339)/W339,"")</f>
        <v/>
      </c>
      <c r="Z339" s="15" t="str">
        <f>IFERROR(($P$15-P339)/W339,"")</f>
        <v/>
      </c>
      <c r="AA339" s="15" t="str">
        <f>IFERROR(($Q$15-Q339)/W339,"")</f>
        <v/>
      </c>
      <c r="AB339" s="15" t="str">
        <f>IFERROR(($R$15-R339)/W339,"")</f>
        <v/>
      </c>
      <c r="AC339" s="15" t="str">
        <f>IFERROR(($S$15-S339)/W339,"")</f>
        <v/>
      </c>
      <c r="AD339" s="20" t="str">
        <f>IFERROR(AVERAGE(X339:AC339), "")</f>
        <v/>
      </c>
      <c r="AE339" s="40" t="str">
        <f>IFERROR(STDEV(X339:AC339), "")</f>
        <v/>
      </c>
      <c r="AG339" s="229"/>
      <c r="AH339" s="77">
        <f>'Sample ID'!$F$7</f>
        <v>1</v>
      </c>
      <c r="AI339" s="77" t="str">
        <f>IFERROR((X339*$AH$33),"")</f>
        <v/>
      </c>
      <c r="AJ339" s="77" t="str">
        <f t="shared" ref="AJ339" si="1559">IFERROR((Y339*$AH$33),"")</f>
        <v/>
      </c>
      <c r="AK339" s="77" t="str">
        <f t="shared" ref="AK339" si="1560">IFERROR((Z339*$AH$33),"")</f>
        <v/>
      </c>
      <c r="AL339" s="77" t="str">
        <f t="shared" ref="AL339" si="1561">IFERROR((AA339*$AH$33),"")</f>
        <v/>
      </c>
      <c r="AM339" s="77" t="str">
        <f t="shared" ref="AM339" si="1562">IFERROR((AB339*$AH$33),"")</f>
        <v/>
      </c>
      <c r="AN339" s="77" t="str">
        <f t="shared" ref="AN339" si="1563">IFERROR((AC339*$AH$33),"")</f>
        <v/>
      </c>
      <c r="AO339" s="40" t="str">
        <f t="shared" ref="AO339:AO345" si="1564">IFERROR(AVERAGE(AI339:AN339),"")</f>
        <v/>
      </c>
      <c r="AP339" s="40" t="str">
        <f>IFERROR(STDEV(AI339:AN339), "")</f>
        <v/>
      </c>
      <c r="AQ339" s="15"/>
      <c r="AR339" s="15"/>
    </row>
    <row r="340" spans="3:44">
      <c r="C340" s="232"/>
      <c r="D340" s="21" t="s">
        <v>18</v>
      </c>
      <c r="E340" s="22">
        <f>Data!B233</f>
        <v>0</v>
      </c>
      <c r="F340" s="22">
        <f>Data!C233</f>
        <v>0</v>
      </c>
      <c r="G340" s="22">
        <f>Data!D233</f>
        <v>0</v>
      </c>
      <c r="H340" s="22">
        <f>Data!E233</f>
        <v>0</v>
      </c>
      <c r="I340" s="22">
        <f>Data!F233</f>
        <v>0</v>
      </c>
      <c r="J340" s="22">
        <f>Data!G233</f>
        <v>0</v>
      </c>
      <c r="K340" s="22"/>
      <c r="L340" s="232"/>
      <c r="M340" s="130" t="s">
        <v>18</v>
      </c>
      <c r="N340" s="15" t="str">
        <f t="shared" si="1551"/>
        <v xml:space="preserve"> </v>
      </c>
      <c r="O340" s="15" t="str">
        <f t="shared" si="1551"/>
        <v xml:space="preserve"> </v>
      </c>
      <c r="P340" s="15" t="str">
        <f t="shared" si="1551"/>
        <v xml:space="preserve"> </v>
      </c>
      <c r="Q340" s="15" t="str">
        <f t="shared" si="1551"/>
        <v xml:space="preserve"> </v>
      </c>
      <c r="R340" s="15" t="str">
        <f t="shared" si="1551"/>
        <v xml:space="preserve"> </v>
      </c>
      <c r="S340" s="15" t="str">
        <f t="shared" si="1551"/>
        <v xml:space="preserve"> </v>
      </c>
      <c r="T340" s="20" t="str">
        <f t="shared" si="1552"/>
        <v/>
      </c>
      <c r="U340" s="40" t="str">
        <f t="shared" si="1553"/>
        <v/>
      </c>
      <c r="V340" s="109"/>
      <c r="W340" s="110">
        <v>90</v>
      </c>
      <c r="X340" s="20" t="str">
        <f>IFERROR(($N$16-N340)/W340,"")</f>
        <v/>
      </c>
      <c r="Y340" s="15" t="str">
        <f>IFERROR(($O$16-O340)/W340,"")</f>
        <v/>
      </c>
      <c r="Z340" s="15" t="str">
        <f>IFERROR(($P$16-P340)/W340,"")</f>
        <v/>
      </c>
      <c r="AA340" s="15" t="str">
        <f>IFERROR(($Q$16-Q340)/W340,"")</f>
        <v/>
      </c>
      <c r="AB340" s="15" t="str">
        <f>IFERROR(($R$16-R340)/W340,"")</f>
        <v/>
      </c>
      <c r="AC340" s="15" t="str">
        <f>IFERROR(($S$16-S340)/W340,"")</f>
        <v/>
      </c>
      <c r="AD340" s="20" t="str">
        <f>IFERROR(AVERAGE(X340:AC340), "")</f>
        <v/>
      </c>
      <c r="AE340" s="40" t="str">
        <f t="shared" ref="AE340:AE345" si="1565">IFERROR(STDEV(X340:AC340), "")</f>
        <v/>
      </c>
      <c r="AG340" s="229"/>
      <c r="AH340" s="77">
        <f>'Sample ID'!$F$8</f>
        <v>1</v>
      </c>
      <c r="AI340" s="77" t="str">
        <f>IFERROR((X340*$AH$34),"")</f>
        <v/>
      </c>
      <c r="AJ340" s="77" t="str">
        <f t="shared" ref="AJ340" si="1566">IFERROR((Y340*$AH$34),"")</f>
        <v/>
      </c>
      <c r="AK340" s="77" t="str">
        <f t="shared" ref="AK340" si="1567">IFERROR((Z340*$AH$34),"")</f>
        <v/>
      </c>
      <c r="AL340" s="77" t="str">
        <f t="shared" ref="AL340" si="1568">IFERROR((AA340*$AH$34),"")</f>
        <v/>
      </c>
      <c r="AM340" s="77" t="str">
        <f t="shared" ref="AM340" si="1569">IFERROR((AB340*$AH$34),"")</f>
        <v/>
      </c>
      <c r="AN340" s="77" t="str">
        <f t="shared" ref="AN340" si="1570">IFERROR((AC340*$AH$34),"")</f>
        <v/>
      </c>
      <c r="AO340" s="40" t="str">
        <f t="shared" si="1564"/>
        <v/>
      </c>
      <c r="AP340" s="40" t="str">
        <f t="shared" ref="AP340:AP345" si="1571">IFERROR(STDEV(AI340:AN340), "")</f>
        <v/>
      </c>
      <c r="AQ340" s="15"/>
      <c r="AR340" s="15"/>
    </row>
    <row r="341" spans="3:44">
      <c r="C341" s="232"/>
      <c r="D341" s="21" t="s">
        <v>19</v>
      </c>
      <c r="E341" s="22">
        <f>Data!B234</f>
        <v>0</v>
      </c>
      <c r="F341" s="22">
        <f>Data!C234</f>
        <v>0</v>
      </c>
      <c r="G341" s="22">
        <f>Data!D234</f>
        <v>0</v>
      </c>
      <c r="H341" s="22">
        <f>Data!E234</f>
        <v>0</v>
      </c>
      <c r="I341" s="22">
        <f>Data!F234</f>
        <v>0</v>
      </c>
      <c r="J341" s="22">
        <f>Data!G234</f>
        <v>0</v>
      </c>
      <c r="K341" s="22"/>
      <c r="L341" s="232"/>
      <c r="M341" s="130" t="s">
        <v>19</v>
      </c>
      <c r="N341" s="15" t="str">
        <f t="shared" si="1551"/>
        <v xml:space="preserve"> </v>
      </c>
      <c r="O341" s="15" t="str">
        <f t="shared" si="1551"/>
        <v xml:space="preserve"> </v>
      </c>
      <c r="P341" s="15" t="str">
        <f t="shared" si="1551"/>
        <v xml:space="preserve"> </v>
      </c>
      <c r="Q341" s="15" t="str">
        <f t="shared" si="1551"/>
        <v xml:space="preserve"> </v>
      </c>
      <c r="R341" s="15" t="str">
        <f t="shared" si="1551"/>
        <v xml:space="preserve"> </v>
      </c>
      <c r="S341" s="15" t="str">
        <f t="shared" si="1551"/>
        <v xml:space="preserve"> </v>
      </c>
      <c r="T341" s="20" t="str">
        <f t="shared" si="1552"/>
        <v/>
      </c>
      <c r="U341" s="40" t="str">
        <f t="shared" si="1553"/>
        <v/>
      </c>
      <c r="V341" s="109"/>
      <c r="W341" s="110">
        <v>90</v>
      </c>
      <c r="X341" s="20" t="str">
        <f>IFERROR(($N$17-N341)/W341,"")</f>
        <v/>
      </c>
      <c r="Y341" s="15" t="str">
        <f>IFERROR(($O$17-O341)/W341,"")</f>
        <v/>
      </c>
      <c r="Z341" s="15" t="str">
        <f>IFERROR(($P$17-P341)/W341,"")</f>
        <v/>
      </c>
      <c r="AA341" s="15" t="str">
        <f>IFERROR(($Q$17-Q341)/W341,"")</f>
        <v/>
      </c>
      <c r="AB341" s="15" t="str">
        <f>IFERROR(($R$17-R341)/W341,"")</f>
        <v/>
      </c>
      <c r="AC341" s="15" t="str">
        <f>IFERROR(($S$17-S341)/W341,"")</f>
        <v/>
      </c>
      <c r="AD341" s="20" t="str">
        <f t="shared" ref="AD341:AD345" si="1572">IFERROR(AVERAGE(X341:AC341), "")</f>
        <v/>
      </c>
      <c r="AE341" s="40" t="str">
        <f t="shared" si="1565"/>
        <v/>
      </c>
      <c r="AG341" s="229"/>
      <c r="AH341" s="77">
        <f>'Sample ID'!$F$9</f>
        <v>1</v>
      </c>
      <c r="AI341" s="77" t="str">
        <f>IFERROR((X341*$AH$35),"")</f>
        <v/>
      </c>
      <c r="AJ341" s="77" t="str">
        <f t="shared" ref="AJ341" si="1573">IFERROR((Y341*$AH$35),"")</f>
        <v/>
      </c>
      <c r="AK341" s="77" t="str">
        <f t="shared" ref="AK341" si="1574">IFERROR((Z341*$AH$35),"")</f>
        <v/>
      </c>
      <c r="AL341" s="77" t="str">
        <f t="shared" ref="AL341" si="1575">IFERROR((AA341*$AH$35),"")</f>
        <v/>
      </c>
      <c r="AM341" s="77" t="str">
        <f t="shared" ref="AM341" si="1576">IFERROR((AB341*$AH$35),"")</f>
        <v/>
      </c>
      <c r="AN341" s="77" t="str">
        <f t="shared" ref="AN341" si="1577">IFERROR((AC341*$AH$35),"")</f>
        <v/>
      </c>
      <c r="AO341" s="40" t="str">
        <f t="shared" si="1564"/>
        <v/>
      </c>
      <c r="AP341" s="40" t="str">
        <f t="shared" si="1571"/>
        <v/>
      </c>
      <c r="AQ341" s="15"/>
      <c r="AR341" s="15"/>
    </row>
    <row r="342" spans="3:44">
      <c r="C342" s="232"/>
      <c r="D342" s="21" t="s">
        <v>20</v>
      </c>
      <c r="E342" s="22">
        <f>Data!B235</f>
        <v>0</v>
      </c>
      <c r="F342" s="22">
        <f>Data!C235</f>
        <v>0</v>
      </c>
      <c r="G342" s="22">
        <f>Data!D235</f>
        <v>0</v>
      </c>
      <c r="H342" s="22">
        <f>Data!E235</f>
        <v>0</v>
      </c>
      <c r="I342" s="22">
        <f>Data!F235</f>
        <v>0</v>
      </c>
      <c r="J342" s="22">
        <f>Data!G235</f>
        <v>0</v>
      </c>
      <c r="K342" s="22"/>
      <c r="L342" s="232"/>
      <c r="M342" s="130" t="s">
        <v>20</v>
      </c>
      <c r="N342" s="15" t="str">
        <f t="shared" si="1551"/>
        <v xml:space="preserve"> </v>
      </c>
      <c r="O342" s="15" t="str">
        <f t="shared" si="1551"/>
        <v xml:space="preserve"> </v>
      </c>
      <c r="P342" s="15" t="str">
        <f t="shared" si="1551"/>
        <v xml:space="preserve"> </v>
      </c>
      <c r="Q342" s="15" t="str">
        <f t="shared" si="1551"/>
        <v xml:space="preserve"> </v>
      </c>
      <c r="R342" s="15" t="str">
        <f t="shared" si="1551"/>
        <v xml:space="preserve"> </v>
      </c>
      <c r="S342" s="15" t="str">
        <f t="shared" si="1551"/>
        <v xml:space="preserve"> </v>
      </c>
      <c r="T342" s="20" t="str">
        <f t="shared" si="1552"/>
        <v/>
      </c>
      <c r="U342" s="40" t="str">
        <f t="shared" si="1553"/>
        <v/>
      </c>
      <c r="V342" s="109"/>
      <c r="W342" s="110">
        <v>90</v>
      </c>
      <c r="X342" s="20" t="str">
        <f>IFERROR(($N$18-N342)/W342,"")</f>
        <v/>
      </c>
      <c r="Y342" s="15" t="str">
        <f>IFERROR(($O$18-O342)/W342,"")</f>
        <v/>
      </c>
      <c r="Z342" s="15" t="str">
        <f>IFERROR(($P$18-P342)/W342,"")</f>
        <v/>
      </c>
      <c r="AA342" s="15" t="str">
        <f>IFERROR(($Q$18-Q342)/W342,"")</f>
        <v/>
      </c>
      <c r="AB342" s="15" t="str">
        <f>IFERROR(($R$18-R342)/W342,"")</f>
        <v/>
      </c>
      <c r="AC342" s="15" t="str">
        <f>IFERROR(($S$18-S342)/W342,"")</f>
        <v/>
      </c>
      <c r="AD342" s="20" t="str">
        <f t="shared" si="1572"/>
        <v/>
      </c>
      <c r="AE342" s="40" t="str">
        <f t="shared" si="1565"/>
        <v/>
      </c>
      <c r="AG342" s="229"/>
      <c r="AH342" s="77">
        <f>'Sample ID'!$F$10</f>
        <v>1</v>
      </c>
      <c r="AI342" s="77" t="str">
        <f>IFERROR((X342*$AH$36),"")</f>
        <v/>
      </c>
      <c r="AJ342" s="77" t="str">
        <f t="shared" ref="AJ342" si="1578">IFERROR((Y342*$AH$36),"")</f>
        <v/>
      </c>
      <c r="AK342" s="77" t="str">
        <f t="shared" ref="AK342" si="1579">IFERROR((Z342*$AH$36),"")</f>
        <v/>
      </c>
      <c r="AL342" s="77" t="str">
        <f t="shared" ref="AL342" si="1580">IFERROR((AA342*$AH$36),"")</f>
        <v/>
      </c>
      <c r="AM342" s="77" t="str">
        <f t="shared" ref="AM342" si="1581">IFERROR((AB342*$AH$36),"")</f>
        <v/>
      </c>
      <c r="AN342" s="77" t="str">
        <f t="shared" ref="AN342" si="1582">IFERROR((AC342*$AH$36),"")</f>
        <v/>
      </c>
      <c r="AO342" s="40" t="str">
        <f t="shared" si="1564"/>
        <v/>
      </c>
      <c r="AP342" s="40" t="str">
        <f t="shared" si="1571"/>
        <v/>
      </c>
      <c r="AQ342" s="15"/>
      <c r="AR342" s="15"/>
    </row>
    <row r="343" spans="3:44">
      <c r="C343" s="232"/>
      <c r="D343" s="21" t="s">
        <v>21</v>
      </c>
      <c r="E343" s="22">
        <f>Data!B236</f>
        <v>0</v>
      </c>
      <c r="F343" s="22">
        <f>Data!C236</f>
        <v>0</v>
      </c>
      <c r="G343" s="22">
        <f>Data!D236</f>
        <v>0</v>
      </c>
      <c r="H343" s="22">
        <f>Data!E236</f>
        <v>0</v>
      </c>
      <c r="I343" s="22">
        <f>Data!F236</f>
        <v>0</v>
      </c>
      <c r="J343" s="22">
        <f>Data!G236</f>
        <v>0</v>
      </c>
      <c r="K343" s="22"/>
      <c r="L343" s="232"/>
      <c r="M343" s="130" t="s">
        <v>21</v>
      </c>
      <c r="N343" s="15" t="str">
        <f t="shared" si="1551"/>
        <v xml:space="preserve"> </v>
      </c>
      <c r="O343" s="15" t="str">
        <f t="shared" si="1551"/>
        <v xml:space="preserve"> </v>
      </c>
      <c r="P343" s="15" t="str">
        <f t="shared" si="1551"/>
        <v xml:space="preserve"> </v>
      </c>
      <c r="Q343" s="15" t="str">
        <f t="shared" si="1551"/>
        <v xml:space="preserve"> </v>
      </c>
      <c r="R343" s="15" t="str">
        <f t="shared" si="1551"/>
        <v xml:space="preserve"> </v>
      </c>
      <c r="S343" s="15" t="str">
        <f t="shared" si="1551"/>
        <v xml:space="preserve"> </v>
      </c>
      <c r="T343" s="20" t="str">
        <f t="shared" si="1552"/>
        <v/>
      </c>
      <c r="U343" s="40" t="str">
        <f t="shared" si="1553"/>
        <v/>
      </c>
      <c r="V343" s="109"/>
      <c r="W343" s="110">
        <v>90</v>
      </c>
      <c r="X343" s="20" t="str">
        <f>IFERROR(($N$19-N343)/W343,"")</f>
        <v/>
      </c>
      <c r="Y343" s="15" t="str">
        <f>IFERROR(($O$19-O343)/W343,"")</f>
        <v/>
      </c>
      <c r="Z343" s="15" t="str">
        <f>IFERROR(($P$19-P343)/W343,"")</f>
        <v/>
      </c>
      <c r="AA343" s="15" t="str">
        <f>IFERROR(($Q$19-Q343)/W343,"")</f>
        <v/>
      </c>
      <c r="AB343" s="15" t="str">
        <f>IFERROR(($R$19-R343)/W343,"")</f>
        <v/>
      </c>
      <c r="AC343" s="15" t="str">
        <f>IFERROR(($S$19-S343)/W343,"")</f>
        <v/>
      </c>
      <c r="AD343" s="20" t="str">
        <f t="shared" si="1572"/>
        <v/>
      </c>
      <c r="AE343" s="40" t="str">
        <f t="shared" si="1565"/>
        <v/>
      </c>
      <c r="AG343" s="229"/>
      <c r="AH343" s="77">
        <f>'Sample ID'!$F$11</f>
        <v>0</v>
      </c>
      <c r="AI343" s="77" t="str">
        <f>IFERROR((X343*$AH$37),"")</f>
        <v/>
      </c>
      <c r="AJ343" s="77" t="str">
        <f t="shared" ref="AJ343" si="1583">IFERROR((Y343*$AH$37),"")</f>
        <v/>
      </c>
      <c r="AK343" s="77" t="str">
        <f t="shared" ref="AK343" si="1584">IFERROR((Z343*$AH$37),"")</f>
        <v/>
      </c>
      <c r="AL343" s="77" t="str">
        <f t="shared" ref="AL343" si="1585">IFERROR((AA343*$AH$37),"")</f>
        <v/>
      </c>
      <c r="AM343" s="77" t="str">
        <f t="shared" ref="AM343" si="1586">IFERROR((AB343*$AH$37),"")</f>
        <v/>
      </c>
      <c r="AN343" s="77" t="str">
        <f t="shared" ref="AN343" si="1587">IFERROR((AC343*$AH$37),"")</f>
        <v/>
      </c>
      <c r="AO343" s="40" t="str">
        <f t="shared" si="1564"/>
        <v/>
      </c>
      <c r="AP343" s="40" t="str">
        <f t="shared" si="1571"/>
        <v/>
      </c>
      <c r="AQ343" s="15"/>
      <c r="AR343" s="15"/>
    </row>
    <row r="344" spans="3:44">
      <c r="C344" s="232"/>
      <c r="D344" s="21" t="s">
        <v>22</v>
      </c>
      <c r="E344" s="22">
        <f>Data!B237</f>
        <v>0</v>
      </c>
      <c r="F344" s="22">
        <f>Data!C237</f>
        <v>0</v>
      </c>
      <c r="G344" s="22">
        <f>Data!D237</f>
        <v>0</v>
      </c>
      <c r="H344" s="22">
        <f>Data!E237</f>
        <v>0</v>
      </c>
      <c r="I344" s="22">
        <f>Data!F237</f>
        <v>0</v>
      </c>
      <c r="J344" s="22">
        <f>Data!G237</f>
        <v>0</v>
      </c>
      <c r="K344" s="22"/>
      <c r="L344" s="232"/>
      <c r="M344" s="130" t="s">
        <v>22</v>
      </c>
      <c r="N344" s="15" t="str">
        <f t="shared" si="1551"/>
        <v xml:space="preserve"> </v>
      </c>
      <c r="O344" s="15" t="str">
        <f t="shared" si="1551"/>
        <v xml:space="preserve"> </v>
      </c>
      <c r="P344" s="15" t="str">
        <f t="shared" si="1551"/>
        <v xml:space="preserve"> </v>
      </c>
      <c r="Q344" s="15" t="str">
        <f t="shared" si="1551"/>
        <v xml:space="preserve"> </v>
      </c>
      <c r="R344" s="15" t="str">
        <f t="shared" si="1551"/>
        <v xml:space="preserve"> </v>
      </c>
      <c r="S344" s="15" t="str">
        <f t="shared" si="1551"/>
        <v xml:space="preserve"> </v>
      </c>
      <c r="T344" s="20" t="str">
        <f t="shared" si="1552"/>
        <v/>
      </c>
      <c r="U344" s="40" t="str">
        <f t="shared" si="1553"/>
        <v/>
      </c>
      <c r="V344" s="109"/>
      <c r="W344" s="110">
        <v>90</v>
      </c>
      <c r="X344" s="20" t="str">
        <f>IFERROR(($N$20-N344)/W344,"")</f>
        <v/>
      </c>
      <c r="Y344" s="15" t="str">
        <f>IFERROR(($O$20-O344)/W344,"")</f>
        <v/>
      </c>
      <c r="Z344" s="15" t="str">
        <f>IFERROR(($P$20-P344)/W344,"")</f>
        <v/>
      </c>
      <c r="AA344" s="15" t="str">
        <f>IFERROR(($Q$20-Q344)/W344,"")</f>
        <v/>
      </c>
      <c r="AB344" s="15" t="str">
        <f>IFERROR(($R$20-R344)/W344,"")</f>
        <v/>
      </c>
      <c r="AC344" s="15" t="str">
        <f>IFERROR(($S$20-S344)/W344,"")</f>
        <v/>
      </c>
      <c r="AD344" s="20" t="str">
        <f t="shared" si="1572"/>
        <v/>
      </c>
      <c r="AE344" s="40" t="str">
        <f t="shared" si="1565"/>
        <v/>
      </c>
      <c r="AG344" s="229"/>
      <c r="AH344" s="77">
        <f>'Sample ID'!$F$12</f>
        <v>0</v>
      </c>
      <c r="AI344" s="77" t="str">
        <f>IFERROR((X344*$AH$38),"")</f>
        <v/>
      </c>
      <c r="AJ344" s="77" t="str">
        <f t="shared" ref="AJ344" si="1588">IFERROR((Y344*$AH$38),"")</f>
        <v/>
      </c>
      <c r="AK344" s="77" t="str">
        <f t="shared" ref="AK344" si="1589">IFERROR((Z344*$AH$38),"")</f>
        <v/>
      </c>
      <c r="AL344" s="77" t="str">
        <f t="shared" ref="AL344" si="1590">IFERROR((AA344*$AH$38),"")</f>
        <v/>
      </c>
      <c r="AM344" s="77" t="str">
        <f t="shared" ref="AM344" si="1591">IFERROR((AB344*$AH$38),"")</f>
        <v/>
      </c>
      <c r="AN344" s="77" t="str">
        <f t="shared" ref="AN344" si="1592">IFERROR((AC344*$AH$38),"")</f>
        <v/>
      </c>
      <c r="AO344" s="40" t="str">
        <f t="shared" si="1564"/>
        <v/>
      </c>
      <c r="AP344" s="40" t="str">
        <f t="shared" si="1571"/>
        <v/>
      </c>
      <c r="AQ344" s="15"/>
      <c r="AR344" s="15"/>
    </row>
    <row r="345" spans="3:44">
      <c r="C345" s="232"/>
      <c r="D345" s="21" t="s">
        <v>23</v>
      </c>
      <c r="E345" s="22">
        <f>Data!B238</f>
        <v>0</v>
      </c>
      <c r="F345" s="22">
        <f>Data!C238</f>
        <v>0</v>
      </c>
      <c r="G345" s="22">
        <f>Data!D238</f>
        <v>0</v>
      </c>
      <c r="H345" s="22">
        <f>Data!E238</f>
        <v>0</v>
      </c>
      <c r="I345" s="22">
        <f>Data!F238</f>
        <v>0</v>
      </c>
      <c r="J345" s="22">
        <f>Data!G238</f>
        <v>0</v>
      </c>
      <c r="K345" s="22"/>
      <c r="L345" s="232"/>
      <c r="M345" s="130" t="s">
        <v>23</v>
      </c>
      <c r="N345" s="15" t="str">
        <f t="shared" si="1551"/>
        <v xml:space="preserve"> </v>
      </c>
      <c r="O345" s="15" t="str">
        <f t="shared" si="1551"/>
        <v xml:space="preserve"> </v>
      </c>
      <c r="P345" s="15" t="str">
        <f t="shared" si="1551"/>
        <v xml:space="preserve"> </v>
      </c>
      <c r="Q345" s="15" t="str">
        <f t="shared" si="1551"/>
        <v xml:space="preserve"> </v>
      </c>
      <c r="R345" s="15" t="str">
        <f t="shared" si="1551"/>
        <v xml:space="preserve"> </v>
      </c>
      <c r="S345" s="15" t="str">
        <f t="shared" si="1551"/>
        <v xml:space="preserve"> </v>
      </c>
      <c r="T345" s="20" t="str">
        <f t="shared" si="1552"/>
        <v/>
      </c>
      <c r="U345" s="40" t="str">
        <f t="shared" si="1553"/>
        <v/>
      </c>
      <c r="V345" s="109"/>
      <c r="W345" s="110">
        <v>90</v>
      </c>
      <c r="X345" s="20" t="str">
        <f>IFERROR(($N$21-N345)/W345,"")</f>
        <v/>
      </c>
      <c r="Y345" s="15" t="str">
        <f>IFERROR(($O$21-O345)/W345,"")</f>
        <v/>
      </c>
      <c r="Z345" s="15" t="str">
        <f>IFERROR(($P$21-P345)/W345,"")</f>
        <v/>
      </c>
      <c r="AA345" s="15" t="str">
        <f>IFERROR(($Q$21-Q345)/W345,"")</f>
        <v/>
      </c>
      <c r="AB345" s="15" t="str">
        <f>IFERROR(($R$21-R345)/W345,"")</f>
        <v/>
      </c>
      <c r="AC345" s="15" t="str">
        <f>IFERROR(($S$21-S345)/W345,"")</f>
        <v/>
      </c>
      <c r="AD345" s="20" t="str">
        <f t="shared" si="1572"/>
        <v/>
      </c>
      <c r="AE345" s="40" t="str">
        <f t="shared" si="1565"/>
        <v/>
      </c>
      <c r="AG345" s="229"/>
      <c r="AH345" s="77">
        <f>'Sample ID'!$F$13</f>
        <v>0</v>
      </c>
      <c r="AI345" s="77" t="str">
        <f>IFERROR((X345*$AH$39),"")</f>
        <v/>
      </c>
      <c r="AJ345" s="77" t="str">
        <f t="shared" ref="AJ345" si="1593">IFERROR((Y345*$AH$39),"")</f>
        <v/>
      </c>
      <c r="AK345" s="77" t="str">
        <f t="shared" ref="AK345" si="1594">IFERROR((Z345*$AH$39),"")</f>
        <v/>
      </c>
      <c r="AL345" s="77" t="str">
        <f t="shared" ref="AL345" si="1595">IFERROR((AA345*$AH$39),"")</f>
        <v/>
      </c>
      <c r="AM345" s="77" t="str">
        <f t="shared" ref="AM345" si="1596">IFERROR((AB345*$AH$39),"")</f>
        <v/>
      </c>
      <c r="AN345" s="77" t="str">
        <f t="shared" ref="AN345" si="1597">IFERROR((AC345*$AH$39),"")</f>
        <v/>
      </c>
      <c r="AO345" s="40" t="str">
        <f t="shared" si="1564"/>
        <v/>
      </c>
      <c r="AP345" s="40" t="str">
        <f t="shared" si="1571"/>
        <v/>
      </c>
      <c r="AQ345" s="15"/>
      <c r="AR345" s="15"/>
    </row>
    <row r="346" spans="3:44">
      <c r="C346" s="232"/>
      <c r="D346" s="39"/>
      <c r="E346" s="142">
        <v>7</v>
      </c>
      <c r="F346" s="142">
        <v>8</v>
      </c>
      <c r="G346" s="143">
        <v>9</v>
      </c>
      <c r="H346" s="142">
        <v>10</v>
      </c>
      <c r="I346" s="142">
        <v>11</v>
      </c>
      <c r="J346" s="143">
        <v>12</v>
      </c>
      <c r="K346" s="27"/>
      <c r="L346" s="232"/>
      <c r="M346" s="38"/>
      <c r="N346" s="59">
        <v>7</v>
      </c>
      <c r="O346" s="38">
        <v>8</v>
      </c>
      <c r="P346" s="38">
        <v>9</v>
      </c>
      <c r="Q346" s="38">
        <v>10</v>
      </c>
      <c r="R346" s="38">
        <v>11</v>
      </c>
      <c r="S346" s="50">
        <v>12</v>
      </c>
      <c r="T346" s="38" t="s">
        <v>24</v>
      </c>
      <c r="U346" s="51" t="s">
        <v>3</v>
      </c>
      <c r="V346" s="109"/>
      <c r="W346" s="98"/>
      <c r="X346" s="38">
        <v>7</v>
      </c>
      <c r="Y346" s="38">
        <v>8</v>
      </c>
      <c r="Z346" s="38">
        <v>9</v>
      </c>
      <c r="AA346" s="38">
        <v>10</v>
      </c>
      <c r="AB346" s="38">
        <v>11</v>
      </c>
      <c r="AC346" s="50">
        <v>12</v>
      </c>
      <c r="AD346" s="50" t="s">
        <v>49</v>
      </c>
      <c r="AE346" s="51" t="s">
        <v>3</v>
      </c>
      <c r="AG346" s="229"/>
      <c r="AH346" s="119"/>
      <c r="AI346" s="119"/>
      <c r="AJ346" s="119"/>
      <c r="AK346" s="119"/>
      <c r="AL346" s="119"/>
      <c r="AM346" s="119"/>
      <c r="AN346" s="119"/>
      <c r="AO346" s="100" t="str">
        <f>IFERROR(#REF!/(#REF!/W346), " ")</f>
        <v xml:space="preserve"> </v>
      </c>
      <c r="AP346" s="51" t="s">
        <v>3</v>
      </c>
      <c r="AQ346" s="15"/>
      <c r="AR346" s="15"/>
    </row>
    <row r="347" spans="3:44">
      <c r="C347" s="232"/>
      <c r="D347" s="116" t="s">
        <v>16</v>
      </c>
      <c r="E347" s="144">
        <f>Data!H231</f>
        <v>0</v>
      </c>
      <c r="F347" s="117">
        <f>Data!I231</f>
        <v>0</v>
      </c>
      <c r="G347" s="117">
        <f>Data!J231</f>
        <v>0</v>
      </c>
      <c r="H347" s="117">
        <f>Data!K231</f>
        <v>0</v>
      </c>
      <c r="I347" s="117">
        <f>Data!L231</f>
        <v>0</v>
      </c>
      <c r="J347" s="118">
        <f>Data!M231</f>
        <v>0</v>
      </c>
      <c r="K347" s="22"/>
      <c r="L347" s="232"/>
      <c r="M347" s="131" t="s">
        <v>16</v>
      </c>
      <c r="N347" s="12" t="str">
        <f t="shared" ref="N347:S354" si="1598">IF(((E347-$P$11)/$P$10)&gt;0,((E347-$P$11)/$P$10)," ")</f>
        <v xml:space="preserve"> </v>
      </c>
      <c r="O347" s="12" t="str">
        <f t="shared" si="1598"/>
        <v xml:space="preserve"> </v>
      </c>
      <c r="P347" s="12" t="str">
        <f t="shared" si="1598"/>
        <v xml:space="preserve"> </v>
      </c>
      <c r="Q347" s="12" t="str">
        <f t="shared" si="1598"/>
        <v xml:space="preserve"> </v>
      </c>
      <c r="R347" s="12" t="str">
        <f t="shared" si="1598"/>
        <v xml:space="preserve"> </v>
      </c>
      <c r="S347" s="12" t="str">
        <f t="shared" si="1598"/>
        <v xml:space="preserve"> </v>
      </c>
      <c r="T347" s="104" t="str">
        <f t="shared" si="1552"/>
        <v/>
      </c>
      <c r="U347" s="40" t="str">
        <f t="shared" si="1553"/>
        <v/>
      </c>
      <c r="V347" s="109"/>
      <c r="W347" s="110">
        <v>90</v>
      </c>
      <c r="X347" s="20" t="str">
        <f>IFERROR(($N$23-N347)/W347,"")</f>
        <v/>
      </c>
      <c r="Y347" s="15" t="str">
        <f>IFERROR(($O$23-O347)/W347,"")</f>
        <v/>
      </c>
      <c r="Z347" s="15" t="str">
        <f>IFERROR(($P$23-P347)/W347,"")</f>
        <v/>
      </c>
      <c r="AA347" s="15" t="str">
        <f>IFERROR(($Q$23-Q347)/W347,"")</f>
        <v/>
      </c>
      <c r="AB347" s="15" t="str">
        <f>IFERROR(($R$23-R347)/W347,"")</f>
        <v/>
      </c>
      <c r="AC347" s="15" t="str">
        <f>IFERROR(($S$23-S347)/W347,"")</f>
        <v/>
      </c>
      <c r="AD347" s="20" t="str">
        <f t="shared" ref="AD347:AD348" si="1599">IFERROR(AVERAGE(X347:AC347), "")</f>
        <v/>
      </c>
      <c r="AE347" s="40" t="str">
        <f t="shared" ref="AE347:AE348" si="1600">IFERROR(STDEV(X347:AC347), "")</f>
        <v/>
      </c>
      <c r="AG347" s="229"/>
      <c r="AH347" s="76">
        <f>'Sample ID'!$F$14</f>
        <v>0</v>
      </c>
      <c r="AI347" s="77" t="str">
        <f>IFERROR((X347*$AH$41),"")</f>
        <v/>
      </c>
      <c r="AJ347" s="77" t="str">
        <f t="shared" ref="AJ347" si="1601">IFERROR((Y347*$AH$41),"")</f>
        <v/>
      </c>
      <c r="AK347" s="77" t="str">
        <f t="shared" ref="AK347" si="1602">IFERROR((Z347*$AH$41),"")</f>
        <v/>
      </c>
      <c r="AL347" s="77" t="str">
        <f t="shared" ref="AL347" si="1603">IFERROR((AA347*$AH$41),"")</f>
        <v/>
      </c>
      <c r="AM347" s="77" t="str">
        <f t="shared" ref="AM347" si="1604">IFERROR((AB347*$AH$41),"")</f>
        <v/>
      </c>
      <c r="AN347" s="77" t="str">
        <f t="shared" ref="AN347" si="1605">IFERROR((AC347*$AH$41),"")</f>
        <v/>
      </c>
      <c r="AO347" s="40" t="str">
        <f>IFERROR(AVERAGE(AI347:AN347),"")</f>
        <v/>
      </c>
      <c r="AP347" s="40" t="str">
        <f t="shared" ref="AP347:AP348" si="1606">IFERROR(STDEV(AI347:AN347), "")</f>
        <v/>
      </c>
      <c r="AQ347" s="15"/>
      <c r="AR347" s="15"/>
    </row>
    <row r="348" spans="3:44">
      <c r="C348" s="232"/>
      <c r="D348" s="21" t="s">
        <v>17</v>
      </c>
      <c r="E348" s="145">
        <f>Data!H232</f>
        <v>0</v>
      </c>
      <c r="F348" s="22">
        <f>Data!I232</f>
        <v>0</v>
      </c>
      <c r="G348" s="22">
        <f>Data!J232</f>
        <v>0</v>
      </c>
      <c r="H348" s="22">
        <f>Data!K232</f>
        <v>0</v>
      </c>
      <c r="I348" s="22">
        <f>Data!L232</f>
        <v>0</v>
      </c>
      <c r="J348" s="23">
        <f>Data!M232</f>
        <v>0</v>
      </c>
      <c r="K348" s="22"/>
      <c r="L348" s="232"/>
      <c r="M348" s="130" t="s">
        <v>17</v>
      </c>
      <c r="N348" s="15" t="str">
        <f t="shared" si="1598"/>
        <v xml:space="preserve"> </v>
      </c>
      <c r="O348" s="15" t="str">
        <f t="shared" si="1598"/>
        <v xml:space="preserve"> </v>
      </c>
      <c r="P348" s="15" t="str">
        <f t="shared" si="1598"/>
        <v xml:space="preserve"> </v>
      </c>
      <c r="Q348" s="15" t="str">
        <f t="shared" si="1598"/>
        <v xml:space="preserve"> </v>
      </c>
      <c r="R348" s="15" t="str">
        <f t="shared" si="1598"/>
        <v xml:space="preserve"> </v>
      </c>
      <c r="S348" s="15" t="str">
        <f t="shared" si="1598"/>
        <v xml:space="preserve"> </v>
      </c>
      <c r="T348" s="40" t="str">
        <f t="shared" si="1552"/>
        <v/>
      </c>
      <c r="U348" s="40" t="str">
        <f t="shared" si="1553"/>
        <v/>
      </c>
      <c r="V348" s="109"/>
      <c r="W348" s="110">
        <v>90</v>
      </c>
      <c r="X348" s="20" t="str">
        <f>IFERROR(($N$24-N348)/W348,"")</f>
        <v/>
      </c>
      <c r="Y348" s="15" t="str">
        <f>IFERROR(($O$24-O348)/W348,"")</f>
        <v/>
      </c>
      <c r="Z348" s="15" t="str">
        <f>IFERROR(($P$24-P348)/W348,"")</f>
        <v/>
      </c>
      <c r="AA348" s="15" t="str">
        <f>IFERROR(($Q$24-Q348)/W348,"")</f>
        <v/>
      </c>
      <c r="AB348" s="15" t="str">
        <f>IFERROR(($R$24-R348)/W348,"")</f>
        <v/>
      </c>
      <c r="AC348" s="15" t="str">
        <f>IFERROR(($S$24-S348)/W348,"")</f>
        <v/>
      </c>
      <c r="AD348" s="20" t="str">
        <f t="shared" si="1599"/>
        <v/>
      </c>
      <c r="AE348" s="40" t="str">
        <f t="shared" si="1600"/>
        <v/>
      </c>
      <c r="AG348" s="229"/>
      <c r="AH348" s="77">
        <f>'Sample ID'!$F$15</f>
        <v>0</v>
      </c>
      <c r="AI348" s="77" t="str">
        <f>IFERROR((X348*$AH$42),"")</f>
        <v/>
      </c>
      <c r="AJ348" s="77" t="str">
        <f t="shared" ref="AJ348" si="1607">IFERROR((Y348*$AH$42),"")</f>
        <v/>
      </c>
      <c r="AK348" s="77" t="str">
        <f t="shared" ref="AK348" si="1608">IFERROR((Z348*$AH$42),"")</f>
        <v/>
      </c>
      <c r="AL348" s="77" t="str">
        <f t="shared" ref="AL348" si="1609">IFERROR((AA348*$AH$42),"")</f>
        <v/>
      </c>
      <c r="AM348" s="77" t="str">
        <f t="shared" ref="AM348" si="1610">IFERROR((AB348*$AH$42),"")</f>
        <v/>
      </c>
      <c r="AN348" s="77" t="str">
        <f t="shared" ref="AN348" si="1611">IFERROR((AC348*$AH$42),"")</f>
        <v/>
      </c>
      <c r="AO348" s="40" t="str">
        <f t="shared" ref="AO348:AO354" si="1612">IFERROR(AVERAGE(AI348:AN348),"")</f>
        <v/>
      </c>
      <c r="AP348" s="40" t="str">
        <f t="shared" si="1606"/>
        <v/>
      </c>
      <c r="AQ348" s="15"/>
      <c r="AR348" s="15"/>
    </row>
    <row r="349" spans="3:44">
      <c r="C349" s="232"/>
      <c r="D349" s="21" t="s">
        <v>18</v>
      </c>
      <c r="E349" s="145">
        <f>Data!H233</f>
        <v>0</v>
      </c>
      <c r="F349" s="22">
        <f>Data!I233</f>
        <v>0</v>
      </c>
      <c r="G349" s="22">
        <f>Data!J233</f>
        <v>0</v>
      </c>
      <c r="H349" s="22">
        <f>Data!K233</f>
        <v>0</v>
      </c>
      <c r="I349" s="22">
        <f>Data!L233</f>
        <v>0</v>
      </c>
      <c r="J349" s="23">
        <f>Data!M233</f>
        <v>0</v>
      </c>
      <c r="K349" s="22"/>
      <c r="L349" s="232"/>
      <c r="M349" s="130" t="s">
        <v>18</v>
      </c>
      <c r="N349" s="15" t="str">
        <f t="shared" si="1598"/>
        <v xml:space="preserve"> </v>
      </c>
      <c r="O349" s="15" t="str">
        <f t="shared" si="1598"/>
        <v xml:space="preserve"> </v>
      </c>
      <c r="P349" s="15" t="str">
        <f t="shared" si="1598"/>
        <v xml:space="preserve"> </v>
      </c>
      <c r="Q349" s="15" t="str">
        <f t="shared" si="1598"/>
        <v xml:space="preserve"> </v>
      </c>
      <c r="R349" s="15" t="str">
        <f t="shared" si="1598"/>
        <v xml:space="preserve"> </v>
      </c>
      <c r="S349" s="15" t="str">
        <f t="shared" si="1598"/>
        <v xml:space="preserve"> </v>
      </c>
      <c r="T349" s="40" t="str">
        <f t="shared" si="1552"/>
        <v/>
      </c>
      <c r="U349" s="40" t="str">
        <f t="shared" si="1553"/>
        <v/>
      </c>
      <c r="V349" s="109"/>
      <c r="W349" s="110">
        <v>90</v>
      </c>
      <c r="X349" s="20" t="str">
        <f>IFERROR(($N$25-N349)/W349,"")</f>
        <v/>
      </c>
      <c r="Y349" s="15" t="str">
        <f>IFERROR(($O$25-O349)/W349,"")</f>
        <v/>
      </c>
      <c r="Z349" s="15" t="str">
        <f>IFERROR(($P$25-P349)/W349,"")</f>
        <v/>
      </c>
      <c r="AA349" s="15" t="str">
        <f>IFERROR(($Q$25-Q349)/W349,"")</f>
        <v/>
      </c>
      <c r="AB349" s="15" t="str">
        <f>IFERROR(($R$25-R349)/W349,"")</f>
        <v/>
      </c>
      <c r="AC349" s="15" t="str">
        <f>IFERROR(($S$25-S349)/W349,"")</f>
        <v/>
      </c>
      <c r="AD349" s="20" t="str">
        <f>IFERROR(AVERAGE(X349:AC349), "")</f>
        <v/>
      </c>
      <c r="AE349" s="40" t="str">
        <f>IFERROR(STDEV(X349:AC349), "")</f>
        <v/>
      </c>
      <c r="AG349" s="229"/>
      <c r="AH349" s="77">
        <f>'Sample ID'!$F$16</f>
        <v>0</v>
      </c>
      <c r="AI349" s="77" t="str">
        <f>IFERROR((X349*$AH$43),"")</f>
        <v/>
      </c>
      <c r="AJ349" s="77" t="str">
        <f t="shared" ref="AJ349" si="1613">IFERROR((Y349*$AH$43),"")</f>
        <v/>
      </c>
      <c r="AK349" s="77" t="str">
        <f t="shared" ref="AK349" si="1614">IFERROR((Z349*$AH$43),"")</f>
        <v/>
      </c>
      <c r="AL349" s="77" t="str">
        <f t="shared" ref="AL349" si="1615">IFERROR((AA349*$AH$43),"")</f>
        <v/>
      </c>
      <c r="AM349" s="77" t="str">
        <f t="shared" ref="AM349" si="1616">IFERROR((AB349*$AH$43),"")</f>
        <v/>
      </c>
      <c r="AN349" s="77" t="str">
        <f t="shared" ref="AN349" si="1617">IFERROR((AC349*$AH$43),"")</f>
        <v/>
      </c>
      <c r="AO349" s="40" t="str">
        <f t="shared" si="1612"/>
        <v/>
      </c>
      <c r="AP349" s="40" t="str">
        <f>IFERROR(STDEV(AI349:AN349), "")</f>
        <v/>
      </c>
      <c r="AQ349" s="15"/>
      <c r="AR349" s="15"/>
    </row>
    <row r="350" spans="3:44">
      <c r="C350" s="232"/>
      <c r="D350" s="21" t="s">
        <v>19</v>
      </c>
      <c r="E350" s="145">
        <f>Data!H234</f>
        <v>0</v>
      </c>
      <c r="F350" s="22">
        <f>Data!I234</f>
        <v>0</v>
      </c>
      <c r="G350" s="22">
        <f>Data!J234</f>
        <v>0</v>
      </c>
      <c r="H350" s="22">
        <f>Data!K234</f>
        <v>0</v>
      </c>
      <c r="I350" s="22">
        <f>Data!L234</f>
        <v>0</v>
      </c>
      <c r="J350" s="23">
        <f>Data!M234</f>
        <v>0</v>
      </c>
      <c r="K350" s="22"/>
      <c r="L350" s="232"/>
      <c r="M350" s="130" t="s">
        <v>19</v>
      </c>
      <c r="N350" s="15" t="str">
        <f t="shared" si="1598"/>
        <v xml:space="preserve"> </v>
      </c>
      <c r="O350" s="15" t="str">
        <f t="shared" si="1598"/>
        <v xml:space="preserve"> </v>
      </c>
      <c r="P350" s="15" t="str">
        <f t="shared" si="1598"/>
        <v xml:space="preserve"> </v>
      </c>
      <c r="Q350" s="15" t="str">
        <f t="shared" si="1598"/>
        <v xml:space="preserve"> </v>
      </c>
      <c r="R350" s="15" t="str">
        <f t="shared" si="1598"/>
        <v xml:space="preserve"> </v>
      </c>
      <c r="S350" s="15" t="str">
        <f t="shared" si="1598"/>
        <v xml:space="preserve"> </v>
      </c>
      <c r="T350" s="40" t="str">
        <f t="shared" si="1552"/>
        <v/>
      </c>
      <c r="U350" s="40" t="str">
        <f t="shared" si="1553"/>
        <v/>
      </c>
      <c r="V350" s="109"/>
      <c r="W350" s="110">
        <v>90</v>
      </c>
      <c r="X350" s="20" t="str">
        <f>IFERROR(($N$26-N350)/W350,"")</f>
        <v/>
      </c>
      <c r="Y350" s="15" t="str">
        <f>IFERROR(($O$26-O350)/W350,"")</f>
        <v/>
      </c>
      <c r="Z350" s="15" t="str">
        <f>IFERROR(($P$26-P350)/W350,"")</f>
        <v/>
      </c>
      <c r="AA350" s="15" t="str">
        <f>IFERROR(($Q$17-Q350)/W350,"")</f>
        <v/>
      </c>
      <c r="AB350" s="15" t="str">
        <f>IFERROR(($R$26-R350)/W350,"")</f>
        <v/>
      </c>
      <c r="AC350" s="15" t="str">
        <f>IFERROR(($S$26-S350)/W350,"")</f>
        <v/>
      </c>
      <c r="AD350" s="20" t="str">
        <f t="shared" ref="AD350:AD353" si="1618">IFERROR(AVERAGE(X350:AC350), "")</f>
        <v/>
      </c>
      <c r="AE350" s="40" t="str">
        <f t="shared" ref="AE350:AE354" si="1619">IFERROR(STDEV(X350:AC350), "")</f>
        <v/>
      </c>
      <c r="AG350" s="229"/>
      <c r="AH350" s="77">
        <f>'Sample ID'!$F$17</f>
        <v>0</v>
      </c>
      <c r="AI350" s="77" t="str">
        <f>IFERROR((X350*$AH$44),"")</f>
        <v/>
      </c>
      <c r="AJ350" s="77" t="str">
        <f t="shared" ref="AJ350" si="1620">IFERROR((Y350*$AH$44),"")</f>
        <v/>
      </c>
      <c r="AK350" s="77" t="str">
        <f t="shared" ref="AK350" si="1621">IFERROR((Z350*$AH$44),"")</f>
        <v/>
      </c>
      <c r="AL350" s="77" t="str">
        <f t="shared" ref="AL350" si="1622">IFERROR((AA350*$AH$44),"")</f>
        <v/>
      </c>
      <c r="AM350" s="77" t="str">
        <f t="shared" ref="AM350" si="1623">IFERROR((AB350*$AH$44),"")</f>
        <v/>
      </c>
      <c r="AN350" s="77" t="str">
        <f t="shared" ref="AN350" si="1624">IFERROR((AC350*$AH$44),"")</f>
        <v/>
      </c>
      <c r="AO350" s="40" t="str">
        <f t="shared" si="1612"/>
        <v/>
      </c>
      <c r="AP350" s="40" t="str">
        <f t="shared" ref="AP350:AP354" si="1625">IFERROR(STDEV(AI350:AN350), "")</f>
        <v/>
      </c>
      <c r="AQ350" s="15"/>
      <c r="AR350" s="15"/>
    </row>
    <row r="351" spans="3:44">
      <c r="C351" s="232"/>
      <c r="D351" s="21" t="s">
        <v>20</v>
      </c>
      <c r="E351" s="145">
        <f>Data!H235</f>
        <v>0</v>
      </c>
      <c r="F351" s="22">
        <f>Data!I235</f>
        <v>0</v>
      </c>
      <c r="G351" s="22">
        <f>Data!J235</f>
        <v>0</v>
      </c>
      <c r="H351" s="22">
        <f>Data!K235</f>
        <v>0</v>
      </c>
      <c r="I351" s="22">
        <f>Data!L235</f>
        <v>0</v>
      </c>
      <c r="J351" s="23">
        <f>Data!M235</f>
        <v>0</v>
      </c>
      <c r="K351" s="22"/>
      <c r="L351" s="232"/>
      <c r="M351" s="130" t="s">
        <v>20</v>
      </c>
      <c r="N351" s="15" t="str">
        <f t="shared" si="1598"/>
        <v xml:space="preserve"> </v>
      </c>
      <c r="O351" s="15" t="str">
        <f t="shared" si="1598"/>
        <v xml:space="preserve"> </v>
      </c>
      <c r="P351" s="15" t="str">
        <f t="shared" si="1598"/>
        <v xml:space="preserve"> </v>
      </c>
      <c r="Q351" s="15" t="str">
        <f t="shared" si="1598"/>
        <v xml:space="preserve"> </v>
      </c>
      <c r="R351" s="15" t="str">
        <f t="shared" si="1598"/>
        <v xml:space="preserve"> </v>
      </c>
      <c r="S351" s="15" t="str">
        <f t="shared" si="1598"/>
        <v xml:space="preserve"> </v>
      </c>
      <c r="T351" s="40" t="str">
        <f t="shared" si="1552"/>
        <v/>
      </c>
      <c r="U351" s="40" t="str">
        <f t="shared" si="1553"/>
        <v/>
      </c>
      <c r="V351" s="109"/>
      <c r="W351" s="110">
        <v>90</v>
      </c>
      <c r="X351" s="20" t="str">
        <f>IFERROR(($N$27-N351)/W351,"")</f>
        <v/>
      </c>
      <c r="Y351" s="15" t="str">
        <f>IFERROR(($O$27-O351)/W351,"")</f>
        <v/>
      </c>
      <c r="Z351" s="15" t="str">
        <f>IFERROR(($P$27-P351)/W351,"")</f>
        <v/>
      </c>
      <c r="AA351" s="15" t="str">
        <f>IFERROR(($Q$18-Q351)/W351,"")</f>
        <v/>
      </c>
      <c r="AB351" s="15" t="str">
        <f>IFERROR(($R$27-R351)/W351,"")</f>
        <v/>
      </c>
      <c r="AC351" s="15" t="str">
        <f>IFERROR(($S$27-S351)/W351,"")</f>
        <v/>
      </c>
      <c r="AD351" s="20" t="str">
        <f t="shared" si="1618"/>
        <v/>
      </c>
      <c r="AE351" s="40" t="str">
        <f t="shared" si="1619"/>
        <v/>
      </c>
      <c r="AG351" s="229"/>
      <c r="AH351" s="77">
        <f>'Sample ID'!$F$18</f>
        <v>0</v>
      </c>
      <c r="AI351" s="77" t="str">
        <f>IFERROR((X351*$AH$45),"")</f>
        <v/>
      </c>
      <c r="AJ351" s="77" t="str">
        <f t="shared" ref="AJ351" si="1626">IFERROR((Y351*$AH$45),"")</f>
        <v/>
      </c>
      <c r="AK351" s="77" t="str">
        <f t="shared" ref="AK351" si="1627">IFERROR((Z351*$AH$45),"")</f>
        <v/>
      </c>
      <c r="AL351" s="77" t="str">
        <f t="shared" ref="AL351" si="1628">IFERROR((AA351*$AH$45),"")</f>
        <v/>
      </c>
      <c r="AM351" s="77" t="str">
        <f t="shared" ref="AM351" si="1629">IFERROR((AB351*$AH$45),"")</f>
        <v/>
      </c>
      <c r="AN351" s="77" t="str">
        <f t="shared" ref="AN351" si="1630">IFERROR((AC351*$AH$45),"")</f>
        <v/>
      </c>
      <c r="AO351" s="40" t="str">
        <f t="shared" si="1612"/>
        <v/>
      </c>
      <c r="AP351" s="40" t="str">
        <f t="shared" si="1625"/>
        <v/>
      </c>
      <c r="AQ351" s="15"/>
      <c r="AR351" s="15"/>
    </row>
    <row r="352" spans="3:44">
      <c r="C352" s="232"/>
      <c r="D352" s="21" t="s">
        <v>21</v>
      </c>
      <c r="E352" s="145">
        <f>Data!H236</f>
        <v>0</v>
      </c>
      <c r="F352" s="22">
        <f>Data!I236</f>
        <v>0</v>
      </c>
      <c r="G352" s="22">
        <f>Data!J236</f>
        <v>0</v>
      </c>
      <c r="H352" s="22">
        <f>Data!K236</f>
        <v>0</v>
      </c>
      <c r="I352" s="22">
        <f>Data!L236</f>
        <v>0</v>
      </c>
      <c r="J352" s="23">
        <f>Data!M236</f>
        <v>0</v>
      </c>
      <c r="K352" s="22"/>
      <c r="L352" s="232"/>
      <c r="M352" s="130" t="s">
        <v>21</v>
      </c>
      <c r="N352" s="15" t="str">
        <f t="shared" si="1598"/>
        <v xml:space="preserve"> </v>
      </c>
      <c r="O352" s="15" t="str">
        <f t="shared" si="1598"/>
        <v xml:space="preserve"> </v>
      </c>
      <c r="P352" s="15" t="str">
        <f t="shared" si="1598"/>
        <v xml:space="preserve"> </v>
      </c>
      <c r="Q352" s="15" t="str">
        <f t="shared" si="1598"/>
        <v xml:space="preserve"> </v>
      </c>
      <c r="R352" s="15" t="str">
        <f t="shared" si="1598"/>
        <v xml:space="preserve"> </v>
      </c>
      <c r="S352" s="15" t="str">
        <f t="shared" si="1598"/>
        <v xml:space="preserve"> </v>
      </c>
      <c r="T352" s="40" t="str">
        <f t="shared" si="1552"/>
        <v/>
      </c>
      <c r="U352" s="40" t="str">
        <f t="shared" si="1553"/>
        <v/>
      </c>
      <c r="V352" s="109"/>
      <c r="W352" s="110">
        <v>90</v>
      </c>
      <c r="X352" s="20" t="str">
        <f>IFERROR(($N$28-N352)/W352,"")</f>
        <v/>
      </c>
      <c r="Y352" s="15" t="str">
        <f>IFERROR(($O$28-O352)/W352,"")</f>
        <v/>
      </c>
      <c r="Z352" s="15" t="str">
        <f>IFERROR(($P$28-P352)/W352,"")</f>
        <v/>
      </c>
      <c r="AA352" s="15" t="str">
        <f>IFERROR(($Q$19-Q352)/W352,"")</f>
        <v/>
      </c>
      <c r="AB352" s="15" t="str">
        <f>IFERROR(($R$28-R352)/W352,"")</f>
        <v/>
      </c>
      <c r="AC352" s="15" t="str">
        <f>IFERROR(($S$28-S352)/W352,"")</f>
        <v/>
      </c>
      <c r="AD352" s="20" t="str">
        <f t="shared" si="1618"/>
        <v/>
      </c>
      <c r="AE352" s="40" t="str">
        <f t="shared" si="1619"/>
        <v/>
      </c>
      <c r="AG352" s="229"/>
      <c r="AH352" s="77">
        <f>'Sample ID'!$F$19</f>
        <v>0</v>
      </c>
      <c r="AI352" s="77" t="str">
        <f>IFERROR((X352*$AH$46),"")</f>
        <v/>
      </c>
      <c r="AJ352" s="77" t="str">
        <f t="shared" ref="AJ352" si="1631">IFERROR((Y352*$AH$46),"")</f>
        <v/>
      </c>
      <c r="AK352" s="77" t="str">
        <f t="shared" ref="AK352" si="1632">IFERROR((Z352*$AH$46),"")</f>
        <v/>
      </c>
      <c r="AL352" s="77" t="str">
        <f t="shared" ref="AL352" si="1633">IFERROR((AA352*$AH$46),"")</f>
        <v/>
      </c>
      <c r="AM352" s="77" t="str">
        <f t="shared" ref="AM352" si="1634">IFERROR((AB352*$AH$46),"")</f>
        <v/>
      </c>
      <c r="AN352" s="77" t="str">
        <f t="shared" ref="AN352" si="1635">IFERROR((AC352*$AH$46),"")</f>
        <v/>
      </c>
      <c r="AO352" s="40" t="str">
        <f t="shared" si="1612"/>
        <v/>
      </c>
      <c r="AP352" s="40" t="str">
        <f t="shared" si="1625"/>
        <v/>
      </c>
      <c r="AQ352" s="15"/>
      <c r="AR352" s="15"/>
    </row>
    <row r="353" spans="3:44">
      <c r="C353" s="232"/>
      <c r="D353" s="21" t="s">
        <v>22</v>
      </c>
      <c r="E353" s="145">
        <f>Data!H237</f>
        <v>0</v>
      </c>
      <c r="F353" s="22">
        <f>Data!I237</f>
        <v>0</v>
      </c>
      <c r="G353" s="22">
        <f>Data!J237</f>
        <v>0</v>
      </c>
      <c r="H353" s="22">
        <f>Data!K237</f>
        <v>0</v>
      </c>
      <c r="I353" s="22">
        <f>Data!L237</f>
        <v>0</v>
      </c>
      <c r="J353" s="23">
        <f>Data!M237</f>
        <v>0</v>
      </c>
      <c r="K353" s="22"/>
      <c r="L353" s="232"/>
      <c r="M353" s="130" t="s">
        <v>22</v>
      </c>
      <c r="N353" s="15" t="str">
        <f t="shared" si="1598"/>
        <v xml:space="preserve"> </v>
      </c>
      <c r="O353" s="15" t="str">
        <f t="shared" si="1598"/>
        <v xml:space="preserve"> </v>
      </c>
      <c r="P353" s="15" t="str">
        <f t="shared" si="1598"/>
        <v xml:space="preserve"> </v>
      </c>
      <c r="Q353" s="15" t="str">
        <f t="shared" si="1598"/>
        <v xml:space="preserve"> </v>
      </c>
      <c r="R353" s="15" t="str">
        <f t="shared" si="1598"/>
        <v xml:space="preserve"> </v>
      </c>
      <c r="S353" s="15" t="str">
        <f t="shared" si="1598"/>
        <v xml:space="preserve"> </v>
      </c>
      <c r="T353" s="40" t="str">
        <f t="shared" si="1552"/>
        <v/>
      </c>
      <c r="U353" s="40" t="str">
        <f t="shared" si="1553"/>
        <v/>
      </c>
      <c r="V353" s="109"/>
      <c r="W353" s="110">
        <v>90</v>
      </c>
      <c r="X353" s="20" t="str">
        <f>IFERROR(($N$29-N353)/W353,"")</f>
        <v/>
      </c>
      <c r="Y353" s="15" t="str">
        <f>IFERROR(($O$29-O353)/W353,"")</f>
        <v/>
      </c>
      <c r="Z353" s="15" t="str">
        <f>IFERROR(($P$29-P353)/W353,"")</f>
        <v/>
      </c>
      <c r="AA353" s="15" t="str">
        <f>IFERROR(($Q$20-Q353)/W353,"")</f>
        <v/>
      </c>
      <c r="AB353" s="15" t="str">
        <f>IFERROR(($R$29-R353)/W353,"")</f>
        <v/>
      </c>
      <c r="AC353" s="15" t="str">
        <f>IFERROR(($S$29-S353)/W353,"")</f>
        <v/>
      </c>
      <c r="AD353" s="20" t="str">
        <f t="shared" si="1618"/>
        <v/>
      </c>
      <c r="AE353" s="40" t="str">
        <f t="shared" si="1619"/>
        <v/>
      </c>
      <c r="AG353" s="229"/>
      <c r="AH353" s="77">
        <f>'Sample ID'!$F$20</f>
        <v>0</v>
      </c>
      <c r="AI353" s="77" t="str">
        <f>IFERROR((X353*$AH$47),"")</f>
        <v/>
      </c>
      <c r="AJ353" s="77" t="str">
        <f t="shared" ref="AJ353" si="1636">IFERROR((Y353*$AH$47),"")</f>
        <v/>
      </c>
      <c r="AK353" s="77" t="str">
        <f t="shared" ref="AK353" si="1637">IFERROR((Z353*$AH$47),"")</f>
        <v/>
      </c>
      <c r="AL353" s="77" t="str">
        <f t="shared" ref="AL353" si="1638">IFERROR((AA353*$AH$47),"")</f>
        <v/>
      </c>
      <c r="AM353" s="77" t="str">
        <f t="shared" ref="AM353" si="1639">IFERROR((AB353*$AH$47),"")</f>
        <v/>
      </c>
      <c r="AN353" s="77" t="str">
        <f t="shared" ref="AN353" si="1640">IFERROR((AC353*$AH$47),"")</f>
        <v/>
      </c>
      <c r="AO353" s="40" t="str">
        <f t="shared" si="1612"/>
        <v/>
      </c>
      <c r="AP353" s="40" t="str">
        <f t="shared" si="1625"/>
        <v/>
      </c>
      <c r="AQ353" s="15"/>
      <c r="AR353" s="15"/>
    </row>
    <row r="354" spans="3:44">
      <c r="C354" s="232"/>
      <c r="D354" s="24" t="s">
        <v>23</v>
      </c>
      <c r="E354" s="146">
        <f>Data!H238</f>
        <v>0</v>
      </c>
      <c r="F354" s="25">
        <f>Data!I238</f>
        <v>0</v>
      </c>
      <c r="G354" s="25">
        <f>Data!J238</f>
        <v>0</v>
      </c>
      <c r="H354" s="25">
        <f>Data!K238</f>
        <v>0</v>
      </c>
      <c r="I354" s="25">
        <f>Data!L238</f>
        <v>0</v>
      </c>
      <c r="J354" s="26">
        <f>Data!M238</f>
        <v>0</v>
      </c>
      <c r="K354" s="22"/>
      <c r="L354" s="232"/>
      <c r="M354" s="132" t="s">
        <v>23</v>
      </c>
      <c r="N354" s="17" t="str">
        <f t="shared" si="1598"/>
        <v xml:space="preserve"> </v>
      </c>
      <c r="O354" s="17" t="str">
        <f t="shared" si="1598"/>
        <v xml:space="preserve"> </v>
      </c>
      <c r="P354" s="17" t="str">
        <f t="shared" si="1598"/>
        <v xml:space="preserve"> </v>
      </c>
      <c r="Q354" s="17" t="str">
        <f t="shared" si="1598"/>
        <v xml:space="preserve"> </v>
      </c>
      <c r="R354" s="17" t="str">
        <f t="shared" si="1598"/>
        <v xml:space="preserve"> </v>
      </c>
      <c r="S354" s="17" t="str">
        <f t="shared" si="1598"/>
        <v xml:space="preserve"> </v>
      </c>
      <c r="T354" s="101" t="str">
        <f t="shared" si="1552"/>
        <v/>
      </c>
      <c r="U354" s="101" t="str">
        <f t="shared" si="1553"/>
        <v/>
      </c>
      <c r="V354" s="109"/>
      <c r="W354" s="111">
        <v>90</v>
      </c>
      <c r="X354" s="29" t="str">
        <f>IFERROR(($N$30-N354)/W354,"")</f>
        <v/>
      </c>
      <c r="Y354" s="17" t="str">
        <f>IFERROR(($O$30-O354)/W354,"")</f>
        <v/>
      </c>
      <c r="Z354" s="17" t="str">
        <f>IFERROR(($P$30-P354)/W354,"")</f>
        <v/>
      </c>
      <c r="AA354" s="17" t="str">
        <f>IFERROR(($Q$21-Q354)/W354,"")</f>
        <v/>
      </c>
      <c r="AB354" s="17" t="str">
        <f>IFERROR(($R$30-R354)/W354,"")</f>
        <v/>
      </c>
      <c r="AC354" s="17" t="str">
        <f>IFERROR(($S$30-S354)/W354,"")</f>
        <v/>
      </c>
      <c r="AD354" s="29" t="str">
        <f>IFERROR(AVERAGE(X354:AC354), "")</f>
        <v/>
      </c>
      <c r="AE354" s="101" t="str">
        <f t="shared" si="1619"/>
        <v/>
      </c>
      <c r="AG354" s="230"/>
      <c r="AH354" s="78">
        <f>'Sample ID'!$F$21</f>
        <v>0</v>
      </c>
      <c r="AI354" s="77" t="str">
        <f>IFERROR((X354*$AH$48),"")</f>
        <v/>
      </c>
      <c r="AJ354" s="77" t="str">
        <f t="shared" ref="AJ354" si="1641">IFERROR((Y354*$AH$48),"")</f>
        <v/>
      </c>
      <c r="AK354" s="77" t="str">
        <f t="shared" ref="AK354" si="1642">IFERROR((Z354*$AH$48),"")</f>
        <v/>
      </c>
      <c r="AL354" s="77" t="str">
        <f t="shared" ref="AL354" si="1643">IFERROR((AA354*$AH$48),"")</f>
        <v/>
      </c>
      <c r="AM354" s="77" t="str">
        <f t="shared" ref="AM354" si="1644">IFERROR((AB354*$AH$48),"")</f>
        <v/>
      </c>
      <c r="AN354" s="77" t="str">
        <f t="shared" ref="AN354" si="1645">IFERROR((AC354*$AH$48),"")</f>
        <v/>
      </c>
      <c r="AO354" s="40" t="str">
        <f t="shared" si="1612"/>
        <v/>
      </c>
      <c r="AP354" s="101" t="str">
        <f t="shared" si="1625"/>
        <v/>
      </c>
      <c r="AQ354" s="15"/>
      <c r="AR354" s="15"/>
    </row>
    <row r="355" spans="3:44"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09"/>
      <c r="W355" s="15"/>
      <c r="X355" s="15"/>
      <c r="Y355" s="15"/>
      <c r="Z355" s="15"/>
      <c r="AA355" s="15"/>
      <c r="AB355" s="15"/>
      <c r="AC355" s="15"/>
      <c r="AD355" s="15"/>
      <c r="AO355" s="15"/>
      <c r="AP355" s="15"/>
      <c r="AQ355" s="15"/>
      <c r="AR355" s="15"/>
    </row>
    <row r="356" spans="3:44"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09"/>
      <c r="W356" s="15"/>
      <c r="X356" s="15"/>
      <c r="Y356" s="15"/>
      <c r="Z356" s="15"/>
      <c r="AA356" s="15"/>
      <c r="AB356" s="15"/>
      <c r="AC356" s="15"/>
      <c r="AD356" s="15"/>
      <c r="AO356" s="15"/>
      <c r="AP356" s="15"/>
      <c r="AQ356" s="15"/>
      <c r="AR356" s="15"/>
    </row>
    <row r="357" spans="3:44"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09"/>
      <c r="W357" s="15"/>
      <c r="X357" s="15"/>
      <c r="Y357" s="15"/>
      <c r="Z357" s="15"/>
      <c r="AA357" s="15"/>
      <c r="AB357" s="15"/>
      <c r="AC357" s="15"/>
      <c r="AD357" s="15"/>
      <c r="AO357" s="15"/>
      <c r="AP357" s="15"/>
      <c r="AQ357" s="15"/>
      <c r="AR357" s="15"/>
    </row>
    <row r="358" spans="3:44"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09"/>
      <c r="W358" s="15"/>
      <c r="X358" s="15"/>
      <c r="Y358" s="15"/>
      <c r="Z358" s="15"/>
      <c r="AA358" s="15"/>
      <c r="AB358" s="15"/>
      <c r="AC358" s="15"/>
      <c r="AD358" s="15"/>
      <c r="AO358" s="15"/>
      <c r="AP358" s="15"/>
      <c r="AQ358" s="15"/>
      <c r="AR358" s="15"/>
    </row>
    <row r="359" spans="3:44"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09"/>
      <c r="W359" s="15"/>
      <c r="X359" s="15"/>
      <c r="Y359" s="15"/>
      <c r="Z359" s="15"/>
      <c r="AA359" s="15"/>
      <c r="AB359" s="15"/>
      <c r="AC359" s="15"/>
      <c r="AD359" s="15"/>
      <c r="AO359" s="15"/>
      <c r="AP359" s="15"/>
      <c r="AQ359" s="15"/>
      <c r="AR359" s="15"/>
    </row>
    <row r="360" spans="3:44"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09"/>
      <c r="W360" s="15"/>
      <c r="X360" s="15"/>
      <c r="Y360" s="15"/>
      <c r="Z360" s="15"/>
      <c r="AA360" s="15"/>
      <c r="AB360" s="15"/>
      <c r="AC360" s="15"/>
      <c r="AD360" s="15"/>
      <c r="AO360" s="15"/>
      <c r="AP360" s="15"/>
      <c r="AQ360" s="15"/>
      <c r="AR360" s="15"/>
    </row>
    <row r="361" spans="3:44"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09"/>
      <c r="W361" s="15"/>
      <c r="X361" s="15"/>
      <c r="Y361" s="15"/>
      <c r="Z361" s="15"/>
      <c r="AA361" s="15"/>
      <c r="AB361" s="15"/>
      <c r="AC361" s="15"/>
      <c r="AD361" s="15"/>
      <c r="AO361" s="15"/>
      <c r="AP361" s="15"/>
      <c r="AQ361" s="15"/>
      <c r="AR361" s="15"/>
    </row>
    <row r="362" spans="3:44"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09"/>
      <c r="W362" s="15"/>
      <c r="X362" s="15"/>
      <c r="Y362" s="15"/>
      <c r="Z362" s="15"/>
      <c r="AA362" s="15"/>
      <c r="AB362" s="15"/>
      <c r="AC362" s="15"/>
      <c r="AD362" s="15"/>
      <c r="AO362" s="15"/>
      <c r="AP362" s="15"/>
      <c r="AQ362" s="15"/>
      <c r="AR362" s="15"/>
    </row>
    <row r="363" spans="3:44"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09"/>
      <c r="W363" s="15"/>
      <c r="X363" s="15"/>
      <c r="Y363" s="15"/>
      <c r="Z363" s="15"/>
      <c r="AA363" s="15"/>
      <c r="AB363" s="15"/>
      <c r="AC363" s="15"/>
      <c r="AD363" s="15"/>
      <c r="AO363" s="15"/>
      <c r="AP363" s="15"/>
      <c r="AQ363" s="15"/>
      <c r="AR363" s="15"/>
    </row>
    <row r="364" spans="3:44"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09"/>
      <c r="W364" s="15"/>
      <c r="X364" s="15"/>
      <c r="Y364" s="15"/>
      <c r="Z364" s="15"/>
      <c r="AA364" s="15"/>
      <c r="AB364" s="15"/>
      <c r="AC364" s="15"/>
      <c r="AD364" s="15"/>
      <c r="AO364" s="15"/>
      <c r="AP364" s="15"/>
      <c r="AQ364" s="15"/>
      <c r="AR364" s="15"/>
    </row>
    <row r="365" spans="3:44"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09"/>
      <c r="W365" s="15"/>
      <c r="X365" s="15"/>
      <c r="Y365" s="15"/>
      <c r="Z365" s="15"/>
      <c r="AA365" s="15"/>
      <c r="AB365" s="15"/>
      <c r="AC365" s="15"/>
      <c r="AD365" s="15"/>
      <c r="AO365" s="15"/>
      <c r="AP365" s="15"/>
      <c r="AQ365" s="15"/>
      <c r="AR365" s="15"/>
    </row>
    <row r="366" spans="3:44"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09"/>
      <c r="W366" s="15"/>
      <c r="X366" s="15"/>
      <c r="Y366" s="15"/>
      <c r="Z366" s="15"/>
      <c r="AA366" s="15"/>
      <c r="AB366" s="15"/>
      <c r="AC366" s="15"/>
      <c r="AD366" s="15"/>
      <c r="AO366" s="15"/>
      <c r="AP366" s="15"/>
      <c r="AQ366" s="15"/>
      <c r="AR366" s="15"/>
    </row>
    <row r="367" spans="3:44"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09"/>
      <c r="W367" s="15"/>
      <c r="X367" s="15"/>
      <c r="Y367" s="15"/>
      <c r="Z367" s="15"/>
      <c r="AA367" s="15"/>
      <c r="AB367" s="15"/>
      <c r="AC367" s="15"/>
      <c r="AD367" s="15"/>
      <c r="AO367" s="15"/>
      <c r="AP367" s="15"/>
      <c r="AQ367" s="15"/>
      <c r="AR367" s="15"/>
    </row>
    <row r="368" spans="3:44"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09"/>
      <c r="W368" s="15"/>
      <c r="X368" s="15"/>
      <c r="Y368" s="15"/>
      <c r="Z368" s="15"/>
      <c r="AA368" s="15"/>
      <c r="AB368" s="15"/>
      <c r="AC368" s="15"/>
      <c r="AD368" s="15"/>
      <c r="AO368" s="15"/>
      <c r="AP368" s="15"/>
      <c r="AQ368" s="15"/>
      <c r="AR368" s="15"/>
    </row>
    <row r="369" spans="3:44"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09"/>
      <c r="W369" s="15"/>
      <c r="X369" s="15"/>
      <c r="Y369" s="15"/>
      <c r="Z369" s="15"/>
      <c r="AA369" s="15"/>
      <c r="AB369" s="15"/>
      <c r="AC369" s="15"/>
      <c r="AD369" s="15"/>
      <c r="AO369" s="15"/>
      <c r="AP369" s="15"/>
      <c r="AQ369" s="15"/>
      <c r="AR369" s="15"/>
    </row>
    <row r="370" spans="3:44"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09"/>
      <c r="W370" s="15"/>
      <c r="X370" s="15"/>
      <c r="Y370" s="15"/>
      <c r="Z370" s="15"/>
      <c r="AA370" s="15"/>
      <c r="AB370" s="15"/>
      <c r="AC370" s="15"/>
      <c r="AD370" s="15"/>
      <c r="AO370" s="15"/>
      <c r="AP370" s="15"/>
      <c r="AQ370" s="15"/>
      <c r="AR370" s="15"/>
    </row>
    <row r="371" spans="3:44"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09"/>
      <c r="W371" s="15"/>
      <c r="X371" s="15"/>
      <c r="Y371" s="15"/>
      <c r="Z371" s="15"/>
      <c r="AA371" s="15"/>
      <c r="AB371" s="15"/>
      <c r="AC371" s="15"/>
      <c r="AD371" s="15"/>
      <c r="AO371" s="15"/>
      <c r="AP371" s="15"/>
      <c r="AQ371" s="15"/>
      <c r="AR371" s="15"/>
    </row>
    <row r="372" spans="3:44"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09"/>
      <c r="W372" s="15"/>
      <c r="X372" s="15"/>
      <c r="Y372" s="15"/>
      <c r="Z372" s="15"/>
      <c r="AA372" s="15"/>
      <c r="AB372" s="15"/>
      <c r="AC372" s="15"/>
      <c r="AD372" s="15"/>
      <c r="AO372" s="15"/>
      <c r="AP372" s="15"/>
      <c r="AQ372" s="15"/>
      <c r="AR372" s="15"/>
    </row>
    <row r="373" spans="3:44"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09"/>
      <c r="W373" s="15"/>
      <c r="X373" s="15"/>
      <c r="Y373" s="15"/>
      <c r="Z373" s="15"/>
      <c r="AA373" s="15"/>
      <c r="AB373" s="15"/>
      <c r="AC373" s="15"/>
      <c r="AD373" s="15"/>
      <c r="AO373" s="15"/>
      <c r="AP373" s="15"/>
      <c r="AQ373" s="15"/>
      <c r="AR373" s="15"/>
    </row>
    <row r="374" spans="3:44"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09"/>
      <c r="W374" s="15"/>
      <c r="X374" s="15"/>
      <c r="Y374" s="15"/>
      <c r="Z374" s="15"/>
      <c r="AA374" s="15"/>
      <c r="AB374" s="15"/>
      <c r="AC374" s="15"/>
      <c r="AD374" s="15"/>
      <c r="AO374" s="15"/>
      <c r="AP374" s="15"/>
      <c r="AQ374" s="15"/>
      <c r="AR374" s="15"/>
    </row>
    <row r="375" spans="3:44"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09"/>
      <c r="W375" s="15"/>
      <c r="X375" s="15"/>
      <c r="Y375" s="15"/>
      <c r="Z375" s="15"/>
      <c r="AA375" s="15"/>
      <c r="AB375" s="15"/>
      <c r="AC375" s="15"/>
      <c r="AD375" s="15"/>
      <c r="AO375" s="15"/>
      <c r="AP375" s="15"/>
      <c r="AQ375" s="15"/>
      <c r="AR375" s="15"/>
    </row>
    <row r="376" spans="3:44"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09"/>
      <c r="W376" s="15"/>
      <c r="X376" s="15"/>
      <c r="Y376" s="15"/>
      <c r="Z376" s="15"/>
      <c r="AA376" s="15"/>
      <c r="AB376" s="15"/>
      <c r="AC376" s="15"/>
      <c r="AD376" s="15"/>
      <c r="AO376" s="15"/>
      <c r="AP376" s="15"/>
      <c r="AQ376" s="15"/>
      <c r="AR376" s="15"/>
    </row>
    <row r="377" spans="3:44">
      <c r="U377" s="15"/>
      <c r="V377" s="109"/>
      <c r="W377" s="15"/>
    </row>
    <row r="378" spans="3:44">
      <c r="U378" s="15"/>
      <c r="V378" s="109"/>
      <c r="W378" s="15"/>
    </row>
    <row r="379" spans="3:44">
      <c r="U379" s="15"/>
      <c r="V379" s="109"/>
      <c r="W379" s="15"/>
    </row>
    <row r="380" spans="3:44">
      <c r="U380" s="15"/>
      <c r="V380" s="109"/>
      <c r="W380" s="15"/>
    </row>
    <row r="381" spans="3:44">
      <c r="U381" s="15"/>
      <c r="V381" s="109"/>
      <c r="W381" s="15"/>
    </row>
    <row r="382" spans="3:44">
      <c r="U382" s="15"/>
      <c r="V382" s="109"/>
      <c r="W382" s="15"/>
    </row>
    <row r="383" spans="3:44">
      <c r="U383" s="15"/>
      <c r="V383" s="109"/>
      <c r="W383" s="15"/>
    </row>
    <row r="384" spans="3:44">
      <c r="U384" s="15"/>
      <c r="V384" s="109"/>
      <c r="W384" s="15"/>
    </row>
    <row r="385" spans="21:23">
      <c r="U385" s="15"/>
      <c r="V385" s="109"/>
      <c r="W385" s="15"/>
    </row>
    <row r="386" spans="21:23">
      <c r="U386" s="15"/>
      <c r="V386" s="109"/>
      <c r="W386" s="15"/>
    </row>
    <row r="387" spans="21:23">
      <c r="U387" s="15"/>
      <c r="V387" s="109"/>
      <c r="W387" s="15"/>
    </row>
    <row r="388" spans="21:23">
      <c r="U388" s="15"/>
      <c r="V388" s="109"/>
      <c r="W388" s="15"/>
    </row>
    <row r="389" spans="21:23">
      <c r="U389" s="15"/>
      <c r="V389" s="109"/>
      <c r="W389" s="15"/>
    </row>
    <row r="390" spans="21:23">
      <c r="U390" s="15"/>
      <c r="V390" s="109"/>
      <c r="W390" s="15"/>
    </row>
    <row r="391" spans="21:23">
      <c r="U391" s="15"/>
      <c r="V391" s="109"/>
      <c r="W391" s="15"/>
    </row>
    <row r="392" spans="21:23">
      <c r="U392" s="15"/>
      <c r="V392" s="109"/>
      <c r="W392" s="15"/>
    </row>
    <row r="393" spans="21:23">
      <c r="U393" s="15"/>
      <c r="V393" s="109"/>
      <c r="W393" s="15"/>
    </row>
    <row r="394" spans="21:23">
      <c r="U394" s="15"/>
      <c r="V394" s="109"/>
      <c r="W394" s="15"/>
    </row>
    <row r="395" spans="21:23">
      <c r="U395" s="15"/>
      <c r="V395" s="109"/>
      <c r="W395" s="15"/>
    </row>
    <row r="396" spans="21:23">
      <c r="U396" s="15"/>
      <c r="V396" s="109"/>
      <c r="W396" s="15"/>
    </row>
    <row r="397" spans="21:23">
      <c r="U397" s="15"/>
      <c r="V397" s="109"/>
      <c r="W397" s="15"/>
    </row>
    <row r="398" spans="21:23">
      <c r="U398" s="15"/>
      <c r="V398" s="109"/>
      <c r="W398" s="15"/>
    </row>
    <row r="399" spans="21:23">
      <c r="U399" s="15"/>
      <c r="V399" s="109"/>
      <c r="W399" s="15"/>
    </row>
    <row r="400" spans="21:23">
      <c r="U400" s="15"/>
      <c r="V400" s="109"/>
      <c r="W400" s="15"/>
    </row>
    <row r="401" spans="21:23">
      <c r="U401" s="15"/>
      <c r="V401" s="109"/>
      <c r="W401" s="15"/>
    </row>
    <row r="402" spans="21:23">
      <c r="U402" s="15"/>
      <c r="V402" s="109"/>
      <c r="W402" s="15"/>
    </row>
    <row r="403" spans="21:23">
      <c r="U403" s="15"/>
      <c r="V403" s="109"/>
      <c r="W403" s="15"/>
    </row>
    <row r="404" spans="21:23">
      <c r="U404" s="15"/>
      <c r="V404" s="109"/>
      <c r="W404" s="15"/>
    </row>
    <row r="405" spans="21:23">
      <c r="U405" s="15"/>
      <c r="V405" s="109"/>
      <c r="W405" s="15"/>
    </row>
    <row r="406" spans="21:23">
      <c r="U406" s="15"/>
      <c r="V406" s="109"/>
      <c r="W406" s="15"/>
    </row>
    <row r="407" spans="21:23">
      <c r="U407" s="15"/>
      <c r="V407" s="109"/>
      <c r="W407" s="15"/>
    </row>
    <row r="408" spans="21:23">
      <c r="U408" s="15"/>
      <c r="V408" s="109"/>
      <c r="W408" s="15"/>
    </row>
    <row r="409" spans="21:23">
      <c r="U409" s="15"/>
      <c r="V409" s="109"/>
      <c r="W409" s="15"/>
    </row>
    <row r="410" spans="21:23">
      <c r="U410" s="15"/>
      <c r="V410" s="109"/>
      <c r="W410" s="15"/>
    </row>
    <row r="411" spans="21:23">
      <c r="U411" s="15"/>
      <c r="V411" s="109"/>
      <c r="W411" s="15"/>
    </row>
    <row r="412" spans="21:23">
      <c r="U412" s="15"/>
      <c r="V412" s="109"/>
      <c r="W412" s="15"/>
    </row>
    <row r="413" spans="21:23">
      <c r="U413" s="15"/>
      <c r="V413" s="109"/>
      <c r="W413" s="15"/>
    </row>
    <row r="414" spans="21:23">
      <c r="U414" s="15"/>
      <c r="V414" s="109"/>
      <c r="W414" s="15"/>
    </row>
    <row r="415" spans="21:23">
      <c r="U415" s="15"/>
      <c r="V415" s="109"/>
      <c r="W415" s="15"/>
    </row>
    <row r="416" spans="21:23">
      <c r="U416" s="15"/>
      <c r="V416" s="109"/>
      <c r="W416" s="15"/>
    </row>
    <row r="417" spans="21:23">
      <c r="U417" s="15"/>
      <c r="V417" s="109"/>
      <c r="W417" s="15"/>
    </row>
    <row r="418" spans="21:23">
      <c r="U418" s="15"/>
      <c r="V418" s="109"/>
      <c r="W418" s="15"/>
    </row>
    <row r="419" spans="21:23">
      <c r="U419" s="15"/>
      <c r="V419" s="109"/>
      <c r="W419" s="15"/>
    </row>
    <row r="420" spans="21:23">
      <c r="U420" s="15"/>
      <c r="V420" s="109"/>
      <c r="W420" s="15"/>
    </row>
    <row r="421" spans="21:23">
      <c r="U421" s="15"/>
      <c r="V421" s="109"/>
      <c r="W421" s="15"/>
    </row>
    <row r="422" spans="21:23">
      <c r="U422" s="15"/>
      <c r="V422" s="109"/>
      <c r="W422" s="15"/>
    </row>
    <row r="423" spans="21:23">
      <c r="U423" s="15"/>
      <c r="V423" s="109"/>
      <c r="W423" s="15"/>
    </row>
    <row r="424" spans="21:23">
      <c r="U424" s="15"/>
      <c r="V424" s="109"/>
      <c r="W424" s="15"/>
    </row>
    <row r="425" spans="21:23">
      <c r="U425" s="15"/>
      <c r="V425" s="109"/>
      <c r="W425" s="15"/>
    </row>
    <row r="426" spans="21:23">
      <c r="U426" s="15"/>
      <c r="V426" s="109"/>
      <c r="W426" s="15"/>
    </row>
    <row r="427" spans="21:23">
      <c r="U427" s="15"/>
      <c r="V427" s="109"/>
      <c r="W427" s="15"/>
    </row>
    <row r="428" spans="21:23">
      <c r="U428" s="15"/>
      <c r="V428" s="109"/>
      <c r="W428" s="15"/>
    </row>
    <row r="429" spans="21:23">
      <c r="U429" s="15"/>
      <c r="V429" s="109"/>
      <c r="W429" s="15"/>
    </row>
    <row r="430" spans="21:23">
      <c r="U430" s="15"/>
      <c r="V430" s="109"/>
      <c r="W430" s="15"/>
    </row>
    <row r="431" spans="21:23">
      <c r="U431" s="15"/>
      <c r="V431" s="109"/>
      <c r="W431" s="15"/>
    </row>
    <row r="432" spans="21:23">
      <c r="U432" s="15"/>
      <c r="V432" s="109"/>
      <c r="W432" s="15"/>
    </row>
    <row r="433" spans="21:23">
      <c r="U433" s="15"/>
      <c r="V433" s="109"/>
      <c r="W433" s="15"/>
    </row>
    <row r="434" spans="21:23">
      <c r="U434" s="15"/>
      <c r="V434" s="109"/>
      <c r="W434" s="15"/>
    </row>
    <row r="435" spans="21:23">
      <c r="U435" s="15"/>
      <c r="V435" s="109"/>
      <c r="W435" s="15"/>
    </row>
    <row r="436" spans="21:23">
      <c r="U436" s="15"/>
      <c r="V436" s="109"/>
      <c r="W436" s="15"/>
    </row>
    <row r="437" spans="21:23">
      <c r="U437" s="15"/>
      <c r="V437" s="109"/>
      <c r="W437" s="15"/>
    </row>
    <row r="438" spans="21:23">
      <c r="U438" s="15"/>
      <c r="V438" s="109"/>
      <c r="W438" s="15"/>
    </row>
    <row r="439" spans="21:23">
      <c r="U439" s="15"/>
      <c r="V439" s="109"/>
      <c r="W439" s="15"/>
    </row>
    <row r="440" spans="21:23">
      <c r="U440" s="15"/>
      <c r="V440" s="109"/>
      <c r="W440" s="15"/>
    </row>
    <row r="441" spans="21:23">
      <c r="U441" s="15"/>
      <c r="V441" s="109"/>
      <c r="W441" s="15"/>
    </row>
    <row r="442" spans="21:23">
      <c r="U442" s="15"/>
      <c r="V442" s="109"/>
      <c r="W442" s="15"/>
    </row>
    <row r="443" spans="21:23">
      <c r="U443" s="15"/>
      <c r="V443" s="109"/>
      <c r="W443" s="15"/>
    </row>
    <row r="444" spans="21:23">
      <c r="U444" s="15"/>
      <c r="V444" s="109"/>
      <c r="W444" s="15"/>
    </row>
    <row r="445" spans="21:23">
      <c r="U445" s="15"/>
      <c r="V445" s="109"/>
      <c r="W445" s="15"/>
    </row>
    <row r="446" spans="21:23">
      <c r="U446" s="15"/>
      <c r="V446" s="109"/>
      <c r="W446" s="15"/>
    </row>
    <row r="447" spans="21:23">
      <c r="U447" s="15"/>
      <c r="V447" s="109"/>
      <c r="W447" s="15"/>
    </row>
    <row r="448" spans="21:23">
      <c r="U448" s="15"/>
      <c r="V448" s="109"/>
      <c r="W448" s="15"/>
    </row>
    <row r="449" spans="21:23">
      <c r="U449" s="15"/>
      <c r="V449" s="109"/>
      <c r="W449" s="15"/>
    </row>
    <row r="450" spans="21:23">
      <c r="U450" s="15"/>
      <c r="V450" s="109"/>
      <c r="W450" s="15"/>
    </row>
    <row r="451" spans="21:23">
      <c r="U451" s="15"/>
      <c r="V451" s="109"/>
      <c r="W451" s="15"/>
    </row>
    <row r="452" spans="21:23">
      <c r="U452" s="15"/>
      <c r="V452" s="109"/>
      <c r="W452" s="15"/>
    </row>
    <row r="453" spans="21:23">
      <c r="U453" s="15"/>
      <c r="V453" s="109"/>
      <c r="W453" s="15"/>
    </row>
    <row r="454" spans="21:23">
      <c r="U454" s="15"/>
      <c r="V454" s="109"/>
      <c r="W454" s="15"/>
    </row>
    <row r="455" spans="21:23">
      <c r="U455" s="15"/>
      <c r="V455" s="109"/>
      <c r="W455" s="15"/>
    </row>
    <row r="456" spans="21:23">
      <c r="U456" s="15"/>
      <c r="V456" s="109"/>
      <c r="W456" s="15"/>
    </row>
    <row r="457" spans="21:23">
      <c r="U457" s="15"/>
      <c r="V457" s="109"/>
      <c r="W457" s="15"/>
    </row>
    <row r="458" spans="21:23">
      <c r="U458" s="15"/>
      <c r="V458" s="109"/>
      <c r="W458" s="15"/>
    </row>
    <row r="459" spans="21:23">
      <c r="U459" s="15"/>
      <c r="V459" s="109"/>
      <c r="W459" s="15"/>
    </row>
    <row r="460" spans="21:23">
      <c r="U460" s="15"/>
      <c r="V460" s="109"/>
      <c r="W460" s="15"/>
    </row>
    <row r="461" spans="21:23">
      <c r="U461" s="15"/>
      <c r="V461" s="109"/>
      <c r="W461" s="15"/>
    </row>
    <row r="462" spans="21:23">
      <c r="U462" s="15"/>
      <c r="V462" s="109"/>
      <c r="W462" s="15"/>
    </row>
    <row r="463" spans="21:23">
      <c r="U463" s="15"/>
      <c r="V463" s="109"/>
      <c r="W463" s="15"/>
    </row>
    <row r="464" spans="21:23">
      <c r="U464" s="15"/>
      <c r="V464" s="109"/>
      <c r="W464" s="15"/>
    </row>
    <row r="465" spans="21:23">
      <c r="U465" s="15"/>
      <c r="V465" s="109"/>
      <c r="W465" s="15"/>
    </row>
    <row r="466" spans="21:23">
      <c r="U466" s="15"/>
      <c r="V466" s="109"/>
      <c r="W466" s="15"/>
    </row>
    <row r="467" spans="21:23">
      <c r="U467" s="15"/>
      <c r="V467" s="109"/>
      <c r="W467" s="15"/>
    </row>
    <row r="468" spans="21:23">
      <c r="U468" s="15"/>
      <c r="V468" s="109"/>
      <c r="W468" s="15"/>
    </row>
    <row r="469" spans="21:23">
      <c r="U469" s="15"/>
      <c r="V469" s="109"/>
      <c r="W469" s="15"/>
    </row>
    <row r="470" spans="21:23">
      <c r="U470" s="15"/>
      <c r="V470" s="109"/>
      <c r="W470" s="15"/>
    </row>
    <row r="471" spans="21:23">
      <c r="U471" s="15"/>
      <c r="V471" s="109"/>
      <c r="W471" s="15"/>
    </row>
    <row r="472" spans="21:23">
      <c r="U472" s="15"/>
      <c r="V472" s="109"/>
      <c r="W472" s="15"/>
    </row>
    <row r="473" spans="21:23">
      <c r="U473" s="15"/>
      <c r="V473" s="109"/>
      <c r="W473" s="15"/>
    </row>
    <row r="474" spans="21:23">
      <c r="U474" s="15"/>
      <c r="V474" s="109"/>
      <c r="W474" s="15"/>
    </row>
    <row r="475" spans="21:23">
      <c r="U475" s="15"/>
      <c r="V475" s="109"/>
      <c r="W475" s="15"/>
    </row>
    <row r="476" spans="21:23">
      <c r="U476" s="15"/>
      <c r="V476" s="109"/>
      <c r="W476" s="15"/>
    </row>
    <row r="477" spans="21:23">
      <c r="U477" s="15"/>
      <c r="V477" s="109"/>
      <c r="W477" s="15"/>
    </row>
    <row r="478" spans="21:23">
      <c r="U478" s="15"/>
      <c r="V478" s="109"/>
      <c r="W478" s="15"/>
    </row>
    <row r="479" spans="21:23">
      <c r="U479" s="15"/>
      <c r="V479" s="109"/>
      <c r="W479" s="15"/>
    </row>
    <row r="480" spans="21:23">
      <c r="U480" s="15"/>
      <c r="V480" s="109"/>
      <c r="W480" s="15"/>
    </row>
    <row r="481" spans="21:23">
      <c r="U481" s="15"/>
      <c r="V481" s="109"/>
      <c r="W481" s="15"/>
    </row>
    <row r="482" spans="21:23">
      <c r="U482" s="15"/>
      <c r="V482" s="109"/>
      <c r="W482" s="15"/>
    </row>
    <row r="483" spans="21:23">
      <c r="U483" s="15"/>
      <c r="V483" s="109"/>
      <c r="W483" s="15"/>
    </row>
    <row r="484" spans="21:23">
      <c r="U484" s="15"/>
      <c r="V484" s="109"/>
      <c r="W484" s="15"/>
    </row>
    <row r="485" spans="21:23">
      <c r="U485" s="15"/>
      <c r="V485" s="109"/>
      <c r="W485" s="15"/>
    </row>
    <row r="486" spans="21:23">
      <c r="U486" s="15"/>
      <c r="V486" s="109"/>
      <c r="W486" s="15"/>
    </row>
    <row r="487" spans="21:23">
      <c r="U487" s="15"/>
      <c r="V487" s="109"/>
      <c r="W487" s="15"/>
    </row>
    <row r="488" spans="21:23">
      <c r="U488" s="15"/>
      <c r="V488" s="109"/>
      <c r="W488" s="15"/>
    </row>
    <row r="489" spans="21:23">
      <c r="U489" s="15"/>
      <c r="V489" s="109"/>
      <c r="W489" s="15"/>
    </row>
    <row r="490" spans="21:23">
      <c r="U490" s="15"/>
      <c r="V490" s="109"/>
      <c r="W490" s="15"/>
    </row>
    <row r="491" spans="21:23">
      <c r="U491" s="15"/>
      <c r="V491" s="109"/>
      <c r="W491" s="15"/>
    </row>
    <row r="492" spans="21:23">
      <c r="U492" s="15"/>
      <c r="V492" s="109"/>
      <c r="W492" s="15"/>
    </row>
    <row r="493" spans="21:23">
      <c r="U493" s="15"/>
      <c r="V493" s="109"/>
      <c r="W493" s="15"/>
    </row>
    <row r="494" spans="21:23">
      <c r="U494" s="15"/>
      <c r="V494" s="109"/>
      <c r="W494" s="15"/>
    </row>
    <row r="495" spans="21:23">
      <c r="U495" s="15"/>
      <c r="V495" s="109"/>
      <c r="W495" s="15"/>
    </row>
    <row r="496" spans="21:23">
      <c r="U496" s="15"/>
      <c r="V496" s="109"/>
      <c r="W496" s="15"/>
    </row>
    <row r="497" spans="21:23">
      <c r="U497" s="15"/>
      <c r="V497" s="109"/>
      <c r="W497" s="15"/>
    </row>
    <row r="498" spans="21:23">
      <c r="U498" s="15"/>
      <c r="V498" s="109"/>
      <c r="W498" s="15"/>
    </row>
    <row r="499" spans="21:23">
      <c r="U499" s="15"/>
      <c r="V499" s="109"/>
      <c r="W499" s="15"/>
    </row>
    <row r="500" spans="21:23">
      <c r="U500" s="15"/>
      <c r="V500" s="109"/>
      <c r="W500" s="15"/>
    </row>
    <row r="501" spans="21:23">
      <c r="U501" s="15"/>
      <c r="V501" s="109"/>
      <c r="W501" s="15"/>
    </row>
    <row r="502" spans="21:23">
      <c r="U502" s="15"/>
      <c r="V502" s="109"/>
      <c r="W502" s="15"/>
    </row>
    <row r="503" spans="21:23">
      <c r="U503" s="15"/>
      <c r="V503" s="109"/>
      <c r="W503" s="15"/>
    </row>
    <row r="504" spans="21:23">
      <c r="U504" s="15"/>
      <c r="V504" s="109"/>
      <c r="W504" s="15"/>
    </row>
    <row r="505" spans="21:23">
      <c r="U505" s="15"/>
      <c r="V505" s="109"/>
      <c r="W505" s="15"/>
    </row>
    <row r="506" spans="21:23">
      <c r="U506" s="15"/>
      <c r="V506" s="109"/>
      <c r="W506" s="15"/>
    </row>
    <row r="507" spans="21:23">
      <c r="U507" s="15"/>
      <c r="V507" s="109"/>
      <c r="W507" s="15"/>
    </row>
    <row r="508" spans="21:23">
      <c r="U508" s="15"/>
      <c r="V508" s="109"/>
      <c r="W508" s="15"/>
    </row>
    <row r="509" spans="21:23">
      <c r="U509" s="15"/>
      <c r="V509" s="109"/>
      <c r="W509" s="15"/>
    </row>
    <row r="510" spans="21:23">
      <c r="U510" s="15"/>
      <c r="V510" s="109"/>
      <c r="W510" s="15"/>
    </row>
    <row r="511" spans="21:23">
      <c r="U511" s="15"/>
      <c r="V511" s="109"/>
      <c r="W511" s="15"/>
    </row>
    <row r="512" spans="21:23">
      <c r="U512" s="15"/>
      <c r="V512" s="109"/>
      <c r="W512" s="15"/>
    </row>
    <row r="513" spans="21:23">
      <c r="U513" s="15"/>
      <c r="V513" s="109"/>
      <c r="W513" s="15"/>
    </row>
    <row r="514" spans="21:23">
      <c r="U514" s="15"/>
      <c r="V514" s="109"/>
      <c r="W514" s="15"/>
    </row>
    <row r="515" spans="21:23">
      <c r="U515" s="15"/>
      <c r="V515" s="109"/>
      <c r="W515" s="15"/>
    </row>
    <row r="516" spans="21:23">
      <c r="U516" s="15"/>
      <c r="V516" s="109"/>
      <c r="W516" s="15"/>
    </row>
    <row r="517" spans="21:23">
      <c r="U517" s="15"/>
      <c r="V517" s="109"/>
      <c r="W517" s="15"/>
    </row>
    <row r="518" spans="21:23">
      <c r="U518" s="15"/>
      <c r="V518" s="109"/>
      <c r="W518" s="15"/>
    </row>
    <row r="519" spans="21:23">
      <c r="U519" s="15"/>
      <c r="V519" s="109"/>
      <c r="W519" s="15"/>
    </row>
    <row r="520" spans="21:23">
      <c r="U520" s="15"/>
      <c r="V520" s="109"/>
      <c r="W520" s="15"/>
    </row>
    <row r="521" spans="21:23">
      <c r="U521" s="15"/>
      <c r="V521" s="109"/>
      <c r="W521" s="15"/>
    </row>
    <row r="522" spans="21:23">
      <c r="U522" s="15"/>
      <c r="V522" s="109"/>
      <c r="W522" s="15"/>
    </row>
    <row r="523" spans="21:23">
      <c r="U523" s="15"/>
      <c r="V523" s="109"/>
      <c r="W523" s="15"/>
    </row>
    <row r="524" spans="21:23">
      <c r="U524" s="15"/>
      <c r="V524" s="109"/>
      <c r="W524" s="15"/>
    </row>
    <row r="525" spans="21:23">
      <c r="U525" s="15"/>
      <c r="V525" s="109"/>
      <c r="W525" s="15"/>
    </row>
    <row r="526" spans="21:23">
      <c r="U526" s="15"/>
      <c r="V526" s="109"/>
      <c r="W526" s="15"/>
    </row>
    <row r="527" spans="21:23">
      <c r="U527" s="15"/>
      <c r="V527" s="109"/>
      <c r="W527" s="15"/>
    </row>
    <row r="528" spans="21:23">
      <c r="U528" s="15"/>
      <c r="V528" s="109"/>
      <c r="W528" s="15"/>
    </row>
    <row r="529" spans="21:23">
      <c r="U529" s="15"/>
      <c r="V529" s="109"/>
      <c r="W529" s="15"/>
    </row>
    <row r="530" spans="21:23">
      <c r="U530" s="15"/>
      <c r="V530" s="109"/>
      <c r="W530" s="15"/>
    </row>
    <row r="531" spans="21:23">
      <c r="U531" s="15"/>
      <c r="V531" s="109"/>
      <c r="W531" s="15"/>
    </row>
    <row r="532" spans="21:23">
      <c r="U532" s="15"/>
      <c r="V532" s="109"/>
      <c r="W532" s="15"/>
    </row>
    <row r="533" spans="21:23">
      <c r="U533" s="15"/>
      <c r="V533" s="109"/>
      <c r="W533" s="15"/>
    </row>
    <row r="534" spans="21:23">
      <c r="U534" s="15"/>
      <c r="V534" s="109"/>
      <c r="W534" s="15"/>
    </row>
    <row r="535" spans="21:23">
      <c r="U535" s="15"/>
      <c r="V535" s="109"/>
      <c r="W535" s="15"/>
    </row>
    <row r="536" spans="21:23">
      <c r="U536" s="15"/>
      <c r="V536" s="109"/>
      <c r="W536" s="15"/>
    </row>
    <row r="537" spans="21:23">
      <c r="U537" s="15"/>
      <c r="V537" s="109"/>
      <c r="W537" s="15"/>
    </row>
    <row r="538" spans="21:23">
      <c r="U538" s="15"/>
      <c r="V538" s="109"/>
      <c r="W538" s="15"/>
    </row>
    <row r="539" spans="21:23">
      <c r="U539" s="15"/>
      <c r="V539" s="109"/>
      <c r="W539" s="15"/>
    </row>
    <row r="540" spans="21:23">
      <c r="U540" s="15"/>
      <c r="V540" s="109"/>
      <c r="W540" s="15"/>
    </row>
    <row r="541" spans="21:23">
      <c r="U541" s="15"/>
      <c r="V541" s="109"/>
      <c r="W541" s="15"/>
    </row>
    <row r="542" spans="21:23">
      <c r="U542" s="15"/>
      <c r="V542" s="109"/>
      <c r="W542" s="15"/>
    </row>
    <row r="543" spans="21:23">
      <c r="U543" s="15"/>
      <c r="V543" s="109"/>
      <c r="W543" s="15"/>
    </row>
    <row r="544" spans="21:23">
      <c r="U544" s="15"/>
      <c r="V544" s="109"/>
      <c r="W544" s="15"/>
    </row>
    <row r="545" spans="21:23">
      <c r="U545" s="15"/>
      <c r="V545" s="109"/>
      <c r="W545" s="15"/>
    </row>
    <row r="546" spans="21:23">
      <c r="U546" s="15"/>
      <c r="V546" s="109"/>
      <c r="W546" s="15"/>
    </row>
    <row r="547" spans="21:23">
      <c r="U547" s="15"/>
      <c r="V547" s="109"/>
      <c r="W547" s="15"/>
    </row>
    <row r="548" spans="21:23">
      <c r="U548" s="15"/>
      <c r="V548" s="109"/>
      <c r="W548" s="15"/>
    </row>
    <row r="549" spans="21:23">
      <c r="U549" s="15"/>
      <c r="V549" s="109"/>
      <c r="W549" s="15"/>
    </row>
    <row r="550" spans="21:23">
      <c r="U550" s="15"/>
      <c r="V550" s="109"/>
      <c r="W550" s="15"/>
    </row>
    <row r="551" spans="21:23">
      <c r="U551" s="15"/>
      <c r="V551" s="109"/>
      <c r="W551" s="15"/>
    </row>
    <row r="552" spans="21:23">
      <c r="U552" s="15"/>
      <c r="V552" s="109"/>
      <c r="W552" s="15"/>
    </row>
    <row r="553" spans="21:23">
      <c r="U553" s="15"/>
      <c r="V553" s="109"/>
      <c r="W553" s="15"/>
    </row>
    <row r="554" spans="21:23">
      <c r="U554" s="15"/>
      <c r="V554" s="109"/>
      <c r="W554" s="15"/>
    </row>
    <row r="555" spans="21:23">
      <c r="U555" s="15"/>
      <c r="V555" s="109"/>
      <c r="W555" s="15"/>
    </row>
    <row r="556" spans="21:23">
      <c r="U556" s="15"/>
      <c r="V556" s="109"/>
      <c r="W556" s="15"/>
    </row>
    <row r="557" spans="21:23">
      <c r="U557" s="15"/>
      <c r="V557" s="109"/>
      <c r="W557" s="15"/>
    </row>
    <row r="558" spans="21:23">
      <c r="U558" s="15"/>
      <c r="V558" s="109"/>
      <c r="W558" s="15"/>
    </row>
    <row r="559" spans="21:23">
      <c r="U559" s="15"/>
      <c r="V559" s="109"/>
      <c r="W559" s="15"/>
    </row>
    <row r="560" spans="21:23">
      <c r="U560" s="15"/>
      <c r="V560" s="109"/>
      <c r="W560" s="15"/>
    </row>
    <row r="561" spans="21:23">
      <c r="U561" s="15"/>
      <c r="V561" s="109"/>
      <c r="W561" s="15"/>
    </row>
    <row r="562" spans="21:23">
      <c r="U562" s="15"/>
      <c r="V562" s="109"/>
      <c r="W562" s="15"/>
    </row>
    <row r="563" spans="21:23">
      <c r="U563" s="15"/>
      <c r="V563" s="109"/>
      <c r="W563" s="15"/>
    </row>
    <row r="564" spans="21:23">
      <c r="U564" s="15"/>
      <c r="V564" s="109"/>
      <c r="W564" s="15"/>
    </row>
    <row r="565" spans="21:23">
      <c r="U565" s="15"/>
      <c r="V565" s="109"/>
      <c r="W565" s="15"/>
    </row>
    <row r="566" spans="21:23">
      <c r="U566" s="15"/>
      <c r="V566" s="109"/>
      <c r="W566" s="15"/>
    </row>
    <row r="567" spans="21:23">
      <c r="U567" s="15"/>
      <c r="V567" s="109"/>
      <c r="W567" s="15"/>
    </row>
    <row r="568" spans="21:23">
      <c r="U568" s="15"/>
      <c r="V568" s="109"/>
      <c r="W568" s="15"/>
    </row>
    <row r="569" spans="21:23">
      <c r="U569" s="15"/>
      <c r="V569" s="109"/>
      <c r="W569" s="15"/>
    </row>
    <row r="570" spans="21:23">
      <c r="U570" s="15"/>
      <c r="V570" s="109"/>
      <c r="W570" s="15"/>
    </row>
    <row r="571" spans="21:23">
      <c r="U571" s="15"/>
      <c r="V571" s="109"/>
      <c r="W571" s="15"/>
    </row>
    <row r="572" spans="21:23">
      <c r="U572" s="15"/>
      <c r="V572" s="109"/>
      <c r="W572" s="15"/>
    </row>
    <row r="573" spans="21:23">
      <c r="U573" s="15"/>
      <c r="V573" s="109"/>
      <c r="W573" s="15"/>
    </row>
    <row r="574" spans="21:23">
      <c r="U574" s="15"/>
      <c r="V574" s="109"/>
      <c r="W574" s="15"/>
    </row>
    <row r="575" spans="21:23">
      <c r="U575" s="15"/>
      <c r="V575" s="109"/>
      <c r="W575" s="15"/>
    </row>
    <row r="576" spans="21:23">
      <c r="U576" s="15"/>
      <c r="V576" s="109"/>
      <c r="W576" s="15"/>
    </row>
    <row r="577" spans="21:23">
      <c r="U577" s="15"/>
      <c r="V577" s="109"/>
      <c r="W577" s="15"/>
    </row>
    <row r="578" spans="21:23">
      <c r="U578" s="15"/>
      <c r="V578" s="109"/>
      <c r="W578" s="15"/>
    </row>
    <row r="579" spans="21:23">
      <c r="U579" s="15"/>
      <c r="V579" s="109"/>
      <c r="W579" s="15"/>
    </row>
    <row r="580" spans="21:23">
      <c r="U580" s="15"/>
      <c r="V580" s="109"/>
      <c r="W580" s="15"/>
    </row>
    <row r="581" spans="21:23">
      <c r="U581" s="15"/>
      <c r="V581" s="109"/>
      <c r="W581" s="15"/>
    </row>
    <row r="582" spans="21:23">
      <c r="U582" s="15"/>
      <c r="V582" s="109"/>
      <c r="W582" s="15"/>
    </row>
    <row r="583" spans="21:23">
      <c r="U583" s="15"/>
      <c r="V583" s="109"/>
      <c r="W583" s="15"/>
    </row>
    <row r="584" spans="21:23">
      <c r="U584" s="15"/>
      <c r="V584" s="109"/>
      <c r="W584" s="15"/>
    </row>
    <row r="585" spans="21:23">
      <c r="U585" s="15"/>
      <c r="V585" s="109"/>
      <c r="W585" s="15"/>
    </row>
    <row r="586" spans="21:23">
      <c r="U586" s="15"/>
      <c r="V586" s="109"/>
      <c r="W586" s="15"/>
    </row>
    <row r="587" spans="21:23">
      <c r="U587" s="15"/>
      <c r="V587" s="109"/>
      <c r="W587" s="15"/>
    </row>
    <row r="588" spans="21:23">
      <c r="U588" s="15"/>
      <c r="V588" s="109"/>
      <c r="W588" s="15"/>
    </row>
    <row r="589" spans="21:23">
      <c r="U589" s="15"/>
      <c r="V589" s="109"/>
      <c r="W589" s="15"/>
    </row>
    <row r="590" spans="21:23">
      <c r="U590" s="15"/>
      <c r="V590" s="109"/>
      <c r="W590" s="15"/>
    </row>
    <row r="591" spans="21:23">
      <c r="U591" s="15"/>
      <c r="V591" s="109"/>
      <c r="W591" s="15"/>
    </row>
    <row r="592" spans="21:23">
      <c r="U592" s="15"/>
      <c r="V592" s="109"/>
      <c r="W592" s="15"/>
    </row>
    <row r="593" spans="21:23">
      <c r="U593" s="15"/>
      <c r="V593" s="109"/>
      <c r="W593" s="15"/>
    </row>
    <row r="594" spans="21:23">
      <c r="U594" s="15"/>
      <c r="V594" s="109"/>
      <c r="W594" s="15"/>
    </row>
    <row r="595" spans="21:23">
      <c r="U595" s="15"/>
      <c r="V595" s="109"/>
      <c r="W595" s="15"/>
    </row>
    <row r="596" spans="21:23">
      <c r="U596" s="15"/>
      <c r="V596" s="109"/>
      <c r="W596" s="15"/>
    </row>
    <row r="597" spans="21:23">
      <c r="U597" s="15"/>
      <c r="V597" s="109"/>
      <c r="W597" s="15"/>
    </row>
    <row r="598" spans="21:23">
      <c r="U598" s="15"/>
      <c r="V598" s="109"/>
      <c r="W598" s="15"/>
    </row>
    <row r="599" spans="21:23">
      <c r="U599" s="15"/>
      <c r="V599" s="109"/>
      <c r="W599" s="15"/>
    </row>
    <row r="600" spans="21:23">
      <c r="U600" s="15"/>
      <c r="V600" s="109"/>
      <c r="W600" s="15"/>
    </row>
    <row r="601" spans="21:23">
      <c r="U601" s="15"/>
      <c r="V601" s="109"/>
      <c r="W601" s="15"/>
    </row>
    <row r="602" spans="21:23">
      <c r="U602" s="15"/>
      <c r="V602" s="109"/>
      <c r="W602" s="15"/>
    </row>
    <row r="603" spans="21:23">
      <c r="U603" s="15"/>
      <c r="V603" s="109"/>
      <c r="W603" s="15"/>
    </row>
    <row r="604" spans="21:23">
      <c r="U604" s="15"/>
      <c r="V604" s="109"/>
      <c r="W604" s="15"/>
    </row>
    <row r="605" spans="21:23">
      <c r="U605" s="15"/>
      <c r="V605" s="109"/>
      <c r="W605" s="15"/>
    </row>
    <row r="606" spans="21:23">
      <c r="U606" s="15"/>
      <c r="V606" s="109"/>
      <c r="W606" s="15"/>
    </row>
    <row r="607" spans="21:23">
      <c r="U607" s="15"/>
      <c r="V607" s="109"/>
      <c r="W607" s="15"/>
    </row>
    <row r="608" spans="21:23">
      <c r="U608" s="15"/>
      <c r="V608" s="109"/>
      <c r="W608" s="15"/>
    </row>
    <row r="609" spans="21:23">
      <c r="U609" s="15"/>
      <c r="V609" s="109"/>
      <c r="W609" s="15"/>
    </row>
    <row r="610" spans="21:23">
      <c r="U610" s="15"/>
      <c r="V610" s="109"/>
      <c r="W610" s="15"/>
    </row>
    <row r="611" spans="21:23">
      <c r="U611" s="15"/>
      <c r="V611" s="109"/>
      <c r="W611" s="15"/>
    </row>
    <row r="612" spans="21:23">
      <c r="U612" s="15"/>
      <c r="V612" s="109"/>
      <c r="W612" s="15"/>
    </row>
    <row r="613" spans="21:23">
      <c r="U613" s="15"/>
      <c r="V613" s="109"/>
      <c r="W613" s="15"/>
    </row>
    <row r="614" spans="21:23">
      <c r="U614" s="15"/>
      <c r="V614" s="109"/>
      <c r="W614" s="15"/>
    </row>
  </sheetData>
  <mergeCells count="76">
    <mergeCell ref="AG319:AG336"/>
    <mergeCell ref="AG337:AG354"/>
    <mergeCell ref="AG10:AO12"/>
    <mergeCell ref="AG9:AO9"/>
    <mergeCell ref="AG6:AO8"/>
    <mergeCell ref="AG283:AG300"/>
    <mergeCell ref="AG301:AG318"/>
    <mergeCell ref="AG247:AG264"/>
    <mergeCell ref="AG265:AG282"/>
    <mergeCell ref="AG103:AG120"/>
    <mergeCell ref="AG121:AG138"/>
    <mergeCell ref="AG139:AG156"/>
    <mergeCell ref="AG157:AG174"/>
    <mergeCell ref="AG175:AG192"/>
    <mergeCell ref="AG193:AG210"/>
    <mergeCell ref="AG49:AG66"/>
    <mergeCell ref="AG67:AG84"/>
    <mergeCell ref="AG4:AO5"/>
    <mergeCell ref="AG211:AG228"/>
    <mergeCell ref="AG229:AG246"/>
    <mergeCell ref="AG85:AG102"/>
    <mergeCell ref="C337:C354"/>
    <mergeCell ref="L337:L354"/>
    <mergeCell ref="W6:AE8"/>
    <mergeCell ref="W10:AE12"/>
    <mergeCell ref="W9:AE9"/>
    <mergeCell ref="C283:C300"/>
    <mergeCell ref="L283:L300"/>
    <mergeCell ref="C301:C318"/>
    <mergeCell ref="L301:L318"/>
    <mergeCell ref="C319:C336"/>
    <mergeCell ref="L319:L336"/>
    <mergeCell ref="C229:C246"/>
    <mergeCell ref="L229:L246"/>
    <mergeCell ref="C247:C264"/>
    <mergeCell ref="L247:L264"/>
    <mergeCell ref="C265:C282"/>
    <mergeCell ref="L265:L282"/>
    <mergeCell ref="C175:C192"/>
    <mergeCell ref="L175:L192"/>
    <mergeCell ref="C193:C210"/>
    <mergeCell ref="L193:L210"/>
    <mergeCell ref="C211:C228"/>
    <mergeCell ref="L211:L228"/>
    <mergeCell ref="C121:C138"/>
    <mergeCell ref="L121:L138"/>
    <mergeCell ref="C139:C156"/>
    <mergeCell ref="L139:L156"/>
    <mergeCell ref="C157:C174"/>
    <mergeCell ref="L157:L174"/>
    <mergeCell ref="C67:C84"/>
    <mergeCell ref="L67:L84"/>
    <mergeCell ref="C85:C102"/>
    <mergeCell ref="L85:L102"/>
    <mergeCell ref="C103:C120"/>
    <mergeCell ref="L103:L120"/>
    <mergeCell ref="AU12:BD12"/>
    <mergeCell ref="C13:C30"/>
    <mergeCell ref="L13:L30"/>
    <mergeCell ref="C31:C48"/>
    <mergeCell ref="L31:L48"/>
    <mergeCell ref="AG13:AG30"/>
    <mergeCell ref="AG31:AG48"/>
    <mergeCell ref="C49:C66"/>
    <mergeCell ref="L49:L66"/>
    <mergeCell ref="T10:U10"/>
    <mergeCell ref="AF10:AF12"/>
    <mergeCell ref="T11:U11"/>
    <mergeCell ref="T12:U12"/>
    <mergeCell ref="C4:G12"/>
    <mergeCell ref="L4:U5"/>
    <mergeCell ref="AF4:AF5"/>
    <mergeCell ref="L6:U8"/>
    <mergeCell ref="AF6:AF8"/>
    <mergeCell ref="L10:M12"/>
    <mergeCell ref="W4:A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7"/>
  <sheetViews>
    <sheetView zoomScale="90" zoomScaleNormal="90" workbookViewId="0">
      <selection activeCell="K19" sqref="K19"/>
    </sheetView>
  </sheetViews>
  <sheetFormatPr defaultColWidth="12.6328125" defaultRowHeight="15" customHeight="1"/>
  <cols>
    <col min="1" max="1" width="8.81640625" customWidth="1"/>
    <col min="2" max="2" width="23.6328125" customWidth="1"/>
    <col min="3" max="5" width="8.90625" customWidth="1"/>
    <col min="6" max="6" width="12.6328125" customWidth="1"/>
    <col min="7" max="7" width="14.6328125" customWidth="1"/>
    <col min="8" max="8" width="39" customWidth="1"/>
    <col min="9" max="26" width="8.81640625" customWidth="1"/>
  </cols>
  <sheetData>
    <row r="1" spans="2:13" ht="15" customHeight="1" thickBot="1"/>
    <row r="2" spans="2:13" ht="15" customHeight="1">
      <c r="B2" s="243" t="s">
        <v>55</v>
      </c>
      <c r="C2" s="244"/>
      <c r="D2" s="244"/>
      <c r="E2" s="244"/>
      <c r="F2" s="244"/>
      <c r="G2" s="244"/>
      <c r="H2" s="245"/>
    </row>
    <row r="3" spans="2:13" ht="15" customHeight="1">
      <c r="B3" s="246"/>
      <c r="C3" s="175"/>
      <c r="D3" s="175"/>
      <c r="E3" s="175"/>
      <c r="F3" s="175"/>
      <c r="G3" s="175"/>
      <c r="H3" s="247"/>
    </row>
    <row r="4" spans="2:13" ht="15" customHeight="1" thickBot="1">
      <c r="B4" s="248"/>
      <c r="C4" s="249"/>
      <c r="D4" s="249"/>
      <c r="E4" s="249"/>
      <c r="F4" s="249"/>
      <c r="G4" s="249"/>
      <c r="H4" s="250"/>
    </row>
    <row r="5" spans="2:13" ht="15" customHeight="1" thickBot="1"/>
    <row r="6" spans="2:13" thickBot="1">
      <c r="B6" s="89" t="s">
        <v>0</v>
      </c>
      <c r="C6" s="90" t="s">
        <v>1</v>
      </c>
      <c r="D6" s="90" t="s">
        <v>1</v>
      </c>
      <c r="E6" s="90" t="s">
        <v>1</v>
      </c>
      <c r="F6" s="90" t="s">
        <v>2</v>
      </c>
      <c r="G6" s="90" t="s">
        <v>3</v>
      </c>
      <c r="H6" s="91" t="s">
        <v>4</v>
      </c>
    </row>
    <row r="7" spans="2:13" ht="15" customHeight="1">
      <c r="B7" s="1">
        <v>0.25</v>
      </c>
      <c r="C7" s="168">
        <v>0.436</v>
      </c>
      <c r="D7" s="168">
        <v>0.40899999999999997</v>
      </c>
      <c r="E7" s="168">
        <v>0.41099999999999998</v>
      </c>
      <c r="F7" s="2">
        <f t="shared" ref="F7:F12" si="0">AVERAGE(C7:E7)</f>
        <v>0.41866666666666669</v>
      </c>
      <c r="G7" s="2">
        <f t="shared" ref="G7:G12" si="1">STDEV(C7:E7)</f>
        <v>1.5044378795195691E-2</v>
      </c>
      <c r="H7" s="240" t="s">
        <v>56</v>
      </c>
      <c r="J7" s="164"/>
      <c r="K7" s="163"/>
      <c r="L7" s="163"/>
      <c r="M7" s="163"/>
    </row>
    <row r="8" spans="2:13" ht="14.5">
      <c r="B8" s="1">
        <v>0.5</v>
      </c>
      <c r="C8" s="168">
        <v>0.71799999999999997</v>
      </c>
      <c r="D8" s="168">
        <v>0.72599999999999998</v>
      </c>
      <c r="E8" s="168">
        <v>0.69599999999999995</v>
      </c>
      <c r="F8" s="2">
        <f t="shared" si="0"/>
        <v>0.71333333333333326</v>
      </c>
      <c r="G8" s="2">
        <f t="shared" si="1"/>
        <v>1.5534906930308071E-2</v>
      </c>
      <c r="H8" s="241"/>
      <c r="J8" s="164"/>
      <c r="K8" s="163"/>
      <c r="L8" s="163"/>
      <c r="M8" s="163"/>
    </row>
    <row r="9" spans="2:13" ht="14.5">
      <c r="B9" s="1">
        <v>1</v>
      </c>
      <c r="C9" s="168">
        <v>1.198</v>
      </c>
      <c r="D9" s="168">
        <v>1.2110000000000001</v>
      </c>
      <c r="E9" s="168">
        <v>1.1519999999999999</v>
      </c>
      <c r="F9" s="2">
        <f t="shared" si="0"/>
        <v>1.1870000000000001</v>
      </c>
      <c r="G9" s="2">
        <f t="shared" si="1"/>
        <v>3.1000000000000069E-2</v>
      </c>
      <c r="H9" s="241"/>
      <c r="J9" s="164"/>
      <c r="K9" s="163"/>
      <c r="L9" s="163"/>
      <c r="M9" s="163"/>
    </row>
    <row r="10" spans="2:13" ht="14.5">
      <c r="B10" s="1">
        <v>1.25</v>
      </c>
      <c r="C10" s="168">
        <v>1.476</v>
      </c>
      <c r="D10" s="168">
        <v>1.53</v>
      </c>
      <c r="E10" s="168">
        <v>1.484</v>
      </c>
      <c r="F10" s="2">
        <f t="shared" si="0"/>
        <v>1.4966666666666668</v>
      </c>
      <c r="G10" s="2">
        <f t="shared" si="1"/>
        <v>2.9143323992525883E-2</v>
      </c>
      <c r="H10" s="241"/>
      <c r="J10" s="164"/>
      <c r="K10" s="163"/>
      <c r="L10" s="163"/>
      <c r="M10" s="163"/>
    </row>
    <row r="11" spans="2:13" ht="14.5">
      <c r="B11" s="1">
        <v>1.5</v>
      </c>
      <c r="C11" s="168">
        <v>1.736</v>
      </c>
      <c r="D11" s="168">
        <v>1.7949999999999999</v>
      </c>
      <c r="E11" s="168">
        <v>1.7569999999999999</v>
      </c>
      <c r="F11" s="2">
        <f t="shared" si="0"/>
        <v>1.7626666666666664</v>
      </c>
      <c r="G11" s="2">
        <f t="shared" si="1"/>
        <v>2.9905406423142489E-2</v>
      </c>
      <c r="H11" s="241"/>
      <c r="J11" s="164"/>
      <c r="K11" s="163"/>
      <c r="L11" s="163"/>
      <c r="M11" s="163"/>
    </row>
    <row r="12" spans="2:13" thickBot="1">
      <c r="B12" s="3">
        <v>2</v>
      </c>
      <c r="C12" s="168">
        <v>2.1890000000000001</v>
      </c>
      <c r="D12" s="168">
        <v>2.2410000000000001</v>
      </c>
      <c r="E12" s="168">
        <v>2.2570000000000001</v>
      </c>
      <c r="F12" s="4">
        <f t="shared" si="0"/>
        <v>2.2289999999999996</v>
      </c>
      <c r="G12" s="4">
        <f t="shared" si="1"/>
        <v>3.5552777669262382E-2</v>
      </c>
      <c r="H12" s="242"/>
      <c r="J12" s="164"/>
      <c r="K12" s="163"/>
      <c r="L12" s="163"/>
      <c r="M12" s="163"/>
    </row>
    <row r="13" spans="2:13" thickBot="1">
      <c r="H13" s="5"/>
      <c r="J13" s="164"/>
      <c r="K13" s="163"/>
      <c r="L13" s="163"/>
      <c r="M13" s="163"/>
    </row>
    <row r="14" spans="2:13" ht="14.5">
      <c r="B14" s="251" t="s">
        <v>58</v>
      </c>
      <c r="C14" s="252"/>
      <c r="D14" s="253"/>
      <c r="H14" s="5"/>
      <c r="J14" s="164"/>
      <c r="K14" s="163"/>
      <c r="L14" s="163"/>
      <c r="M14" s="163"/>
    </row>
    <row r="15" spans="2:13" ht="15" customHeight="1" thickBot="1">
      <c r="B15" s="254"/>
      <c r="C15" s="255"/>
      <c r="D15" s="256"/>
    </row>
    <row r="16" spans="2:13" thickBot="1">
      <c r="H16" s="5"/>
    </row>
    <row r="17" spans="2:4" thickBot="1">
      <c r="B17" s="92" t="s">
        <v>4</v>
      </c>
      <c r="C17" s="93" t="s">
        <v>5</v>
      </c>
      <c r="D17" s="94" t="s">
        <v>6</v>
      </c>
    </row>
    <row r="18" spans="2:4" ht="14.5">
      <c r="B18" s="6" t="s">
        <v>7</v>
      </c>
      <c r="C18" s="5" t="s">
        <v>8</v>
      </c>
      <c r="D18" s="7" t="s">
        <v>9</v>
      </c>
    </row>
    <row r="19" spans="2:4" ht="14.5">
      <c r="B19" s="8" t="s">
        <v>10</v>
      </c>
      <c r="C19" s="5" t="s">
        <v>11</v>
      </c>
      <c r="D19" s="157">
        <f>SLOPE(F8:F12,B8:B12)</f>
        <v>1.0245333333333331</v>
      </c>
    </row>
    <row r="20" spans="2:4" ht="14.5">
      <c r="B20" s="8" t="s">
        <v>12</v>
      </c>
      <c r="C20" s="5" t="s">
        <v>13</v>
      </c>
      <c r="D20" s="157">
        <f>INTERCEPT(F8:F12,B8:B12)</f>
        <v>0.19706666666666672</v>
      </c>
    </row>
    <row r="21" spans="2:4" thickBot="1">
      <c r="B21" s="9" t="s">
        <v>14</v>
      </c>
      <c r="C21" s="10" t="s">
        <v>15</v>
      </c>
      <c r="D21" s="158">
        <f>RSQ(F8:F12,B8:B12)</f>
        <v>0.99795051523098588</v>
      </c>
    </row>
    <row r="22" spans="2:4" ht="15" customHeight="1" thickBot="1"/>
    <row r="23" spans="2:4" ht="15" customHeight="1">
      <c r="B23" s="257" t="s">
        <v>57</v>
      </c>
      <c r="C23" s="257"/>
      <c r="D23" s="257"/>
    </row>
    <row r="24" spans="2:4" ht="15" customHeight="1">
      <c r="B24" s="258"/>
      <c r="C24" s="258"/>
      <c r="D24" s="258"/>
    </row>
    <row r="25" spans="2:4" ht="15" customHeight="1">
      <c r="B25" s="258"/>
      <c r="C25" s="258"/>
      <c r="D25" s="258"/>
    </row>
    <row r="26" spans="2:4" ht="15" customHeight="1">
      <c r="B26" s="258"/>
      <c r="C26" s="258"/>
      <c r="D26" s="258"/>
    </row>
    <row r="27" spans="2:4" ht="15" customHeight="1">
      <c r="B27" s="258"/>
      <c r="C27" s="258"/>
      <c r="D27" s="258"/>
    </row>
    <row r="28" spans="2:4" ht="15.75" customHeight="1">
      <c r="B28" s="258"/>
      <c r="C28" s="258"/>
      <c r="D28" s="258"/>
    </row>
    <row r="29" spans="2:4" ht="15.75" customHeight="1"/>
    <row r="30" spans="2:4" ht="15.75" customHeight="1"/>
    <row r="31" spans="2:4" ht="15.75" customHeight="1"/>
    <row r="32" spans="2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4">
    <mergeCell ref="H7:H12"/>
    <mergeCell ref="B2:H4"/>
    <mergeCell ref="B14:D15"/>
    <mergeCell ref="B23:D28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CC2A-CC76-3F45-A5C7-883A311D1456}">
  <dimension ref="B3:X39"/>
  <sheetViews>
    <sheetView topLeftCell="L1" zoomScale="50" zoomScaleNormal="50" workbookViewId="0">
      <selection activeCell="T6" sqref="T6"/>
    </sheetView>
  </sheetViews>
  <sheetFormatPr defaultColWidth="10.6328125" defaultRowHeight="14.5"/>
  <cols>
    <col min="3" max="3" width="14" customWidth="1"/>
    <col min="4" max="4" width="14.453125" customWidth="1"/>
    <col min="5" max="5" width="16.6328125" customWidth="1"/>
    <col min="6" max="6" width="9.6328125" customWidth="1"/>
    <col min="7" max="7" width="10" customWidth="1"/>
    <col min="8" max="8" width="10.08984375" customWidth="1"/>
    <col min="9" max="9" width="10" customWidth="1"/>
    <col min="10" max="10" width="10.08984375" customWidth="1"/>
    <col min="11" max="11" width="10.453125" customWidth="1"/>
    <col min="12" max="24" width="13.6328125" bestFit="1" customWidth="1"/>
  </cols>
  <sheetData>
    <row r="3" spans="2:24" ht="15" customHeight="1">
      <c r="B3" s="259" t="s">
        <v>50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</row>
    <row r="4" spans="2:24" ht="35" customHeight="1">
      <c r="B4" s="212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</row>
    <row r="5" spans="2:24">
      <c r="B5" s="138" t="s">
        <v>37</v>
      </c>
      <c r="C5" s="139" t="s">
        <v>38</v>
      </c>
      <c r="D5" s="83" t="s">
        <v>25</v>
      </c>
      <c r="E5" s="140" t="s">
        <v>104</v>
      </c>
      <c r="F5" s="141">
        <v>0</v>
      </c>
      <c r="G5" s="141">
        <v>5</v>
      </c>
      <c r="H5" s="141">
        <v>10</v>
      </c>
      <c r="I5" s="141">
        <v>15</v>
      </c>
      <c r="J5" s="141">
        <v>20</v>
      </c>
      <c r="K5" s="141">
        <v>25</v>
      </c>
      <c r="L5" s="141">
        <v>30</v>
      </c>
      <c r="M5" s="141">
        <v>35</v>
      </c>
      <c r="N5" s="141">
        <v>40</v>
      </c>
      <c r="O5" s="141">
        <v>45</v>
      </c>
      <c r="P5" s="141">
        <v>50</v>
      </c>
      <c r="Q5" s="141">
        <v>55</v>
      </c>
      <c r="R5" s="141">
        <v>60</v>
      </c>
      <c r="S5" s="141">
        <v>65</v>
      </c>
      <c r="T5" s="141">
        <v>70</v>
      </c>
      <c r="U5" s="141">
        <v>75</v>
      </c>
      <c r="V5" s="141">
        <v>80</v>
      </c>
      <c r="W5" s="141">
        <v>85</v>
      </c>
      <c r="X5" s="152">
        <v>90</v>
      </c>
    </row>
    <row r="6" spans="2:24">
      <c r="B6" s="71" t="str">
        <f>'Sample ID'!D6</f>
        <v>A 1-6</v>
      </c>
      <c r="C6" s="135">
        <f>'Sample ID'!E6</f>
        <v>484</v>
      </c>
      <c r="D6" s="135">
        <f>'Sample ID'!F6</f>
        <v>1</v>
      </c>
      <c r="E6" s="135" t="str">
        <f xml:space="preserve"> C6 &amp; " - DF " &amp; D6</f>
        <v>484 - DF 1</v>
      </c>
      <c r="F6" s="134">
        <f>Results!T14</f>
        <v>1.7402394586153047</v>
      </c>
      <c r="G6" s="134">
        <f>Results!T32</f>
        <v>1.7242972410203024</v>
      </c>
      <c r="H6" s="134">
        <f>Results!T50</f>
        <v>1.7288521603331606</v>
      </c>
      <c r="I6" s="134">
        <f>Results!T68</f>
        <v>1.7242972410203024</v>
      </c>
      <c r="J6" s="134">
        <f>Results!T86</f>
        <v>1.7093310775637693</v>
      </c>
      <c r="K6" s="134">
        <f>Results!T104</f>
        <v>1.7015226444560128</v>
      </c>
      <c r="L6" s="134">
        <f>Results!T122</f>
        <v>1.6963170223841753</v>
      </c>
      <c r="M6" s="134">
        <f>Results!T140</f>
        <v>1.690460697553358</v>
      </c>
      <c r="N6" s="134">
        <f>Results!T158</f>
        <v>1.6963170223841753</v>
      </c>
      <c r="O6" s="134">
        <f>Results!T176</f>
        <v>1.692412805830297</v>
      </c>
      <c r="P6" s="12">
        <f>Results!T194</f>
        <v>1.6898099947943785</v>
      </c>
      <c r="Q6" s="12">
        <f>Results!T212</f>
        <v>1.6816762103071319</v>
      </c>
      <c r="R6" s="12">
        <f>Results!T230</f>
        <v>1.6826522644456017</v>
      </c>
      <c r="S6" s="12">
        <f>Results!T248</f>
        <v>1.6793987506507027</v>
      </c>
      <c r="T6" s="12">
        <f>Results!T266</f>
        <v>1.6780973451327437</v>
      </c>
      <c r="U6" s="12" t="str">
        <f>Results!T284</f>
        <v/>
      </c>
      <c r="V6" s="12" t="str">
        <f>Results!T302</f>
        <v/>
      </c>
      <c r="W6" s="12" t="str">
        <f>Results!T320</f>
        <v/>
      </c>
      <c r="X6" s="12" t="str">
        <f>Results!T338</f>
        <v/>
      </c>
    </row>
    <row r="7" spans="2:24">
      <c r="B7" s="72" t="str">
        <f>'Sample ID'!D7</f>
        <v>B 1-6</v>
      </c>
      <c r="C7" s="79">
        <f>'Sample ID'!E7</f>
        <v>548</v>
      </c>
      <c r="D7" s="79">
        <f>'Sample ID'!F7</f>
        <v>1</v>
      </c>
      <c r="E7" s="79" t="str">
        <f t="shared" ref="E7:E21" si="0" xml:space="preserve"> C7 &amp; " - DF " &amp; D7</f>
        <v>548 - DF 1</v>
      </c>
      <c r="F7" s="41">
        <f>Results!T15</f>
        <v>1.7255986465382616</v>
      </c>
      <c r="G7" s="41">
        <f>Results!T33</f>
        <v>1.7415408641332644</v>
      </c>
      <c r="H7" s="41">
        <f>Results!T51</f>
        <v>1.7561816762103073</v>
      </c>
      <c r="I7" s="41">
        <f>Results!T69</f>
        <v>1.7587844872462266</v>
      </c>
      <c r="J7" s="41">
        <f>Results!T87</f>
        <v>1.7542295679333684</v>
      </c>
      <c r="K7" s="41">
        <f>Results!T105</f>
        <v>1.7500000000000002</v>
      </c>
      <c r="L7" s="41">
        <f>Results!T123</f>
        <v>1.7561816762103077</v>
      </c>
      <c r="M7" s="41">
        <f>Results!T141</f>
        <v>1.7665929203539825</v>
      </c>
      <c r="N7" s="41">
        <f>Results!T159</f>
        <v>1.7711478396668408</v>
      </c>
      <c r="O7" s="41">
        <f>Results!T177</f>
        <v>1.7838365434669445</v>
      </c>
      <c r="P7" s="15">
        <f>Results!T195</f>
        <v>1.7815590838105158</v>
      </c>
      <c r="Q7" s="15">
        <f>Results!T213</f>
        <v>1.7763534617386778</v>
      </c>
      <c r="R7" s="15">
        <f>Results!T231</f>
        <v>1.7792816241540867</v>
      </c>
      <c r="S7" s="15">
        <f>Results!T249</f>
        <v>1.7773295158771478</v>
      </c>
      <c r="T7" s="15">
        <f>Results!T267</f>
        <v>1.7773295158771478</v>
      </c>
      <c r="U7" s="15" t="str">
        <f>Results!T285</f>
        <v/>
      </c>
      <c r="V7" s="15" t="str">
        <f>Results!T303</f>
        <v/>
      </c>
      <c r="W7" s="15" t="str">
        <f>Results!T321</f>
        <v/>
      </c>
      <c r="X7" s="15" t="str">
        <f>Results!T339</f>
        <v/>
      </c>
    </row>
    <row r="8" spans="2:24">
      <c r="B8" s="72" t="str">
        <f>'Sample ID'!D8</f>
        <v>C1-6</v>
      </c>
      <c r="C8" s="79">
        <f>'Sample ID'!E8</f>
        <v>716</v>
      </c>
      <c r="D8" s="79">
        <f>'Sample ID'!F8</f>
        <v>1</v>
      </c>
      <c r="E8" s="79" t="str">
        <f t="shared" si="0"/>
        <v>716 - DF 1</v>
      </c>
      <c r="F8" s="41">
        <f>Results!T16</f>
        <v>1.7617126496616349</v>
      </c>
      <c r="G8" s="41">
        <f>Results!T34</f>
        <v>1.7626887038001045</v>
      </c>
      <c r="H8" s="41">
        <f>Results!T52</f>
        <v>1.774726704841229</v>
      </c>
      <c r="I8" s="41">
        <f>Results!T70</f>
        <v>1.7779802186361273</v>
      </c>
      <c r="J8" s="41">
        <f>Results!T88</f>
        <v>1.7763534617386785</v>
      </c>
      <c r="K8" s="41">
        <f>Results!T106</f>
        <v>1.774726704841229</v>
      </c>
      <c r="L8" s="41">
        <f>Results!T124</f>
        <v>1.7734252993232695</v>
      </c>
      <c r="M8" s="41">
        <f>Results!T142</f>
        <v>1.7662675689744927</v>
      </c>
      <c r="N8" s="41">
        <f>Results!T160</f>
        <v>1.7597605413846955</v>
      </c>
      <c r="O8" s="41">
        <f>Results!T178</f>
        <v>1.7591098386257162</v>
      </c>
      <c r="P8" s="15">
        <f>Results!T196</f>
        <v>1.7535788651743889</v>
      </c>
      <c r="Q8" s="15">
        <f>Results!T214</f>
        <v>1.7500000000000007</v>
      </c>
      <c r="R8" s="15">
        <f>Results!T232</f>
        <v>1.7581337844872467</v>
      </c>
      <c r="S8" s="15">
        <f>Results!T250</f>
        <v>1.7584591358667365</v>
      </c>
      <c r="T8" s="15">
        <f>Results!T268</f>
        <v>1.7688703800104115</v>
      </c>
      <c r="U8" s="15" t="str">
        <f>Results!T286</f>
        <v/>
      </c>
      <c r="V8" s="15" t="str">
        <f>Results!T304</f>
        <v/>
      </c>
      <c r="W8" s="15" t="str">
        <f>Results!T322</f>
        <v/>
      </c>
      <c r="X8" s="15" t="str">
        <f>Results!T340</f>
        <v/>
      </c>
    </row>
    <row r="9" spans="2:24">
      <c r="B9" s="72" t="str">
        <f>'Sample ID'!D9</f>
        <v>D 1-6</v>
      </c>
      <c r="C9" s="79">
        <f>'Sample ID'!E9</f>
        <v>824</v>
      </c>
      <c r="D9" s="79">
        <f>'Sample ID'!F9</f>
        <v>1</v>
      </c>
      <c r="E9" s="79" t="str">
        <f t="shared" si="0"/>
        <v>824 - DF 1</v>
      </c>
      <c r="F9" s="41">
        <f>Results!T17</f>
        <v>1.809213951067153</v>
      </c>
      <c r="G9" s="41">
        <f>Results!T35</f>
        <v>1.9100728787090062</v>
      </c>
      <c r="H9" s="41">
        <f>Results!T53</f>
        <v>1.9611530452889125</v>
      </c>
      <c r="I9" s="41">
        <f>Results!T71</f>
        <v>1.9943388859968774</v>
      </c>
      <c r="J9" s="41">
        <f>Results!T89</f>
        <v>1.9969416970327958</v>
      </c>
      <c r="K9" s="41">
        <f>Results!T107</f>
        <v>1.9962909942738161</v>
      </c>
      <c r="L9" s="41">
        <f>Results!T125</f>
        <v>1.9992191566892246</v>
      </c>
      <c r="M9" s="41">
        <f>Results!T143</f>
        <v>2.0164627798021866</v>
      </c>
      <c r="N9" s="41">
        <f>Results!T161</f>
        <v>2.0164627798021866</v>
      </c>
      <c r="O9" s="41">
        <f>Results!T179</f>
        <v>2.021017699115045</v>
      </c>
      <c r="P9" s="15">
        <f>Results!T197</f>
        <v>2.0229698073919837</v>
      </c>
      <c r="Q9" s="15">
        <f>Results!T215</f>
        <v>2.0216684018740243</v>
      </c>
      <c r="R9" s="15">
        <f>Results!T233</f>
        <v>2.0232951587714734</v>
      </c>
      <c r="S9" s="15">
        <f>Results!T251</f>
        <v>2.0210176991150441</v>
      </c>
      <c r="T9" s="15">
        <f>Results!T269</f>
        <v>2.0249219156689229</v>
      </c>
      <c r="U9" s="15" t="str">
        <f>Results!T287</f>
        <v/>
      </c>
      <c r="V9" s="15" t="str">
        <f>Results!T305</f>
        <v/>
      </c>
      <c r="W9" s="15" t="str">
        <f>Results!T323</f>
        <v/>
      </c>
      <c r="X9" s="15" t="str">
        <f>Results!T341</f>
        <v/>
      </c>
    </row>
    <row r="10" spans="2:24">
      <c r="B10" s="72" t="str">
        <f>'Sample ID'!D10</f>
        <v>E 1-6</v>
      </c>
      <c r="C10" s="79">
        <f>'Sample ID'!E10</f>
        <v>437</v>
      </c>
      <c r="D10" s="79">
        <f>'Sample ID'!F10</f>
        <v>1</v>
      </c>
      <c r="E10" s="79" t="str">
        <f t="shared" si="0"/>
        <v>437 - DF 1</v>
      </c>
      <c r="F10" s="41">
        <f>Results!T18</f>
        <v>1.8401223321186888</v>
      </c>
      <c r="G10" s="41">
        <f>Results!T36</f>
        <v>1.8977095262883921</v>
      </c>
      <c r="H10" s="41">
        <f>Results!T54</f>
        <v>1.9221108797501305</v>
      </c>
      <c r="I10" s="41">
        <f>Results!T72</f>
        <v>1.9396798542425826</v>
      </c>
      <c r="J10" s="41">
        <f>Results!T90</f>
        <v>1.9341488807912548</v>
      </c>
      <c r="K10" s="41">
        <f>Results!T108</f>
        <v>1.9374023945861534</v>
      </c>
      <c r="L10" s="41">
        <f>Results!T126</f>
        <v>1.9338235294117652</v>
      </c>
      <c r="M10" s="41">
        <f>Results!T144</f>
        <v>1.9416319625195213</v>
      </c>
      <c r="N10" s="41">
        <f>Results!T162</f>
        <v>1.9400052056220725</v>
      </c>
      <c r="O10" s="41">
        <f>Results!T180</f>
        <v>1.9377277459656435</v>
      </c>
      <c r="P10" s="15">
        <f>Results!T198</f>
        <v>1.9243883394065595</v>
      </c>
      <c r="Q10" s="15">
        <f>Results!T216</f>
        <v>1.9286179073399277</v>
      </c>
      <c r="R10" s="15">
        <f>Results!T234</f>
        <v>1.9208094742321713</v>
      </c>
      <c r="S10" s="15">
        <f>Results!T252</f>
        <v>1.9221108797501305</v>
      </c>
      <c r="T10" s="15">
        <f>Results!T270</f>
        <v>1.9276418532014581</v>
      </c>
      <c r="U10" s="15" t="str">
        <f>Results!T288</f>
        <v/>
      </c>
      <c r="V10" s="15" t="str">
        <f>Results!T306</f>
        <v/>
      </c>
      <c r="W10" s="15" t="str">
        <f>Results!T324</f>
        <v/>
      </c>
      <c r="X10" s="15" t="str">
        <f>Results!T342</f>
        <v/>
      </c>
    </row>
    <row r="11" spans="2:24">
      <c r="B11" s="72" t="str">
        <f>'Sample ID'!D11</f>
        <v>F 1-6</v>
      </c>
      <c r="C11" s="79">
        <f>'Sample ID'!E11</f>
        <v>0</v>
      </c>
      <c r="D11" s="79">
        <f>'Sample ID'!F11</f>
        <v>0</v>
      </c>
      <c r="E11" s="79" t="str">
        <f t="shared" si="0"/>
        <v>0 - DF 0</v>
      </c>
      <c r="F11" s="41">
        <f>Results!T19</f>
        <v>1.6706142634044774</v>
      </c>
      <c r="G11" s="41">
        <f>Results!T37</f>
        <v>1.6182326913066116</v>
      </c>
      <c r="H11" s="41">
        <f>Results!T55</f>
        <v>1.5577173347214994</v>
      </c>
      <c r="I11" s="41">
        <f>Results!T73</f>
        <v>1.4932977615825092</v>
      </c>
      <c r="J11" s="41">
        <f>Results!T91</f>
        <v>1.4266007287870905</v>
      </c>
      <c r="K11" s="41">
        <f>Results!T109</f>
        <v>1.3690135346173868</v>
      </c>
      <c r="L11" s="41">
        <f>Results!T127</f>
        <v>1.3034552316501826</v>
      </c>
      <c r="M11" s="41">
        <f>Results!T145</f>
        <v>1.2577433628318586</v>
      </c>
      <c r="N11" s="41">
        <f>Results!T163</f>
        <v>1.2037350338365436</v>
      </c>
      <c r="O11" s="41">
        <f>Results!T181</f>
        <v>1.151353461738678</v>
      </c>
      <c r="P11" s="15">
        <f>Results!T199</f>
        <v>1.0973451327433632</v>
      </c>
      <c r="Q11" s="15">
        <f>Results!T217</f>
        <v>1.0508198854763147</v>
      </c>
      <c r="R11" s="15">
        <f>Results!T235</f>
        <v>0.99323269130661129</v>
      </c>
      <c r="S11" s="15">
        <f>Results!T253</f>
        <v>0.92328214471629388</v>
      </c>
      <c r="T11" s="15">
        <f>Results!T271</f>
        <v>0.85072878709005728</v>
      </c>
      <c r="U11" s="15" t="str">
        <f>Results!T289</f>
        <v/>
      </c>
      <c r="V11" s="15" t="str">
        <f>Results!T307</f>
        <v/>
      </c>
      <c r="W11" s="15" t="str">
        <f>Results!T325</f>
        <v/>
      </c>
      <c r="X11" s="15" t="str">
        <f>Results!T343</f>
        <v/>
      </c>
    </row>
    <row r="12" spans="2:24">
      <c r="B12" s="72" t="str">
        <f>'Sample ID'!D12</f>
        <v>G 1-6</v>
      </c>
      <c r="C12" s="79">
        <f>'Sample ID'!E12</f>
        <v>0</v>
      </c>
      <c r="D12" s="79">
        <f>'Sample ID'!F12</f>
        <v>0</v>
      </c>
      <c r="E12" s="79" t="str">
        <f t="shared" si="0"/>
        <v>0 - DF 0</v>
      </c>
      <c r="F12" s="41">
        <f>Results!T20</f>
        <v>1.6696382092660074</v>
      </c>
      <c r="G12" s="41">
        <f>Results!T38</f>
        <v>1.6429593961478399</v>
      </c>
      <c r="H12" s="41">
        <f>Results!T56</f>
        <v>1.6224622592399796</v>
      </c>
      <c r="I12" s="41">
        <f>Results!T74</f>
        <v>1.5899271212909947</v>
      </c>
      <c r="J12" s="41">
        <f>Results!T92</f>
        <v>1.5534877667881315</v>
      </c>
      <c r="K12" s="41">
        <f>Results!T110</f>
        <v>1.526483602290474</v>
      </c>
      <c r="L12" s="41">
        <f>Results!T128</f>
        <v>1.5007808433107759</v>
      </c>
      <c r="M12" s="41">
        <f>Results!T146</f>
        <v>1.49232170744404</v>
      </c>
      <c r="N12" s="41">
        <f>Results!T164</f>
        <v>1.4838625715773037</v>
      </c>
      <c r="O12" s="41">
        <f>Results!T182</f>
        <v>1.4747527329515879</v>
      </c>
      <c r="P12" s="15">
        <f>Results!T200</f>
        <v>1.4636907860489332</v>
      </c>
      <c r="Q12" s="15">
        <f>Results!T218</f>
        <v>1.4539302446642377</v>
      </c>
      <c r="R12" s="15">
        <f>Results!T236</f>
        <v>1.433758459135867</v>
      </c>
      <c r="S12" s="15">
        <f>Results!T254</f>
        <v>1.4051275377407604</v>
      </c>
      <c r="T12" s="15">
        <f>Results!T272</f>
        <v>1.3716163456533057</v>
      </c>
      <c r="U12" s="15" t="str">
        <f>Results!T290</f>
        <v/>
      </c>
      <c r="V12" s="15" t="str">
        <f>Results!T308</f>
        <v/>
      </c>
      <c r="W12" s="15" t="str">
        <f>Results!T326</f>
        <v/>
      </c>
      <c r="X12" s="15" t="str">
        <f>Results!T344</f>
        <v/>
      </c>
    </row>
    <row r="13" spans="2:24">
      <c r="B13" s="72" t="str">
        <f>'Sample ID'!D13</f>
        <v>H 1-6</v>
      </c>
      <c r="C13" s="79">
        <f>'Sample ID'!E13</f>
        <v>0</v>
      </c>
      <c r="D13" s="79">
        <f>'Sample ID'!F13</f>
        <v>0</v>
      </c>
      <c r="E13" s="79" t="str">
        <f t="shared" si="0"/>
        <v>0 - DF 0</v>
      </c>
      <c r="F13" s="41" t="str">
        <f>Results!T21</f>
        <v/>
      </c>
      <c r="G13" s="41" t="str">
        <f>Results!T39</f>
        <v/>
      </c>
      <c r="H13" s="41" t="str">
        <f>Results!T57</f>
        <v/>
      </c>
      <c r="I13" s="41" t="str">
        <f>Results!T75</f>
        <v/>
      </c>
      <c r="J13" s="41" t="str">
        <f>Results!T93</f>
        <v/>
      </c>
      <c r="K13" s="41" t="str">
        <f>Results!T111</f>
        <v/>
      </c>
      <c r="L13" s="41" t="str">
        <f>Results!T129</f>
        <v/>
      </c>
      <c r="M13" s="41" t="str">
        <f>Results!T147</f>
        <v/>
      </c>
      <c r="N13" s="41" t="str">
        <f>Results!T165</f>
        <v/>
      </c>
      <c r="O13" s="41" t="str">
        <f>Results!T183</f>
        <v/>
      </c>
      <c r="P13" s="15" t="str">
        <f>Results!T201</f>
        <v/>
      </c>
      <c r="Q13" s="15" t="str">
        <f>Results!T219</f>
        <v/>
      </c>
      <c r="R13" s="15" t="str">
        <f>Results!T237</f>
        <v/>
      </c>
      <c r="S13" s="15" t="str">
        <f>Results!T255</f>
        <v/>
      </c>
      <c r="T13" s="15" t="str">
        <f>Results!T273</f>
        <v/>
      </c>
      <c r="U13" s="15" t="str">
        <f>Results!T291</f>
        <v/>
      </c>
      <c r="V13" s="15" t="str">
        <f>Results!T309</f>
        <v/>
      </c>
      <c r="W13" s="15" t="str">
        <f>Results!T327</f>
        <v/>
      </c>
      <c r="X13" s="15" t="str">
        <f>Results!T345</f>
        <v/>
      </c>
    </row>
    <row r="14" spans="2:24">
      <c r="B14" s="71" t="str">
        <f>'Sample ID'!D14</f>
        <v>A 7-12</v>
      </c>
      <c r="C14" s="135">
        <f>'Sample ID'!E14</f>
        <v>0</v>
      </c>
      <c r="D14" s="135">
        <f>'Sample ID'!F14</f>
        <v>0</v>
      </c>
      <c r="E14" s="135" t="str">
        <f t="shared" si="0"/>
        <v>0 - DF 0</v>
      </c>
      <c r="F14" s="134" t="str">
        <f>Results!T23</f>
        <v/>
      </c>
      <c r="G14" s="134" t="str">
        <f>Results!T41</f>
        <v/>
      </c>
      <c r="H14" s="134" t="str">
        <f>Results!T59</f>
        <v/>
      </c>
      <c r="I14" s="134" t="str">
        <f>Results!T77</f>
        <v/>
      </c>
      <c r="J14" s="134" t="str">
        <f>Results!T95</f>
        <v/>
      </c>
      <c r="K14" s="134" t="str">
        <f>Results!T113</f>
        <v/>
      </c>
      <c r="L14" s="134" t="str">
        <f>Results!T131</f>
        <v/>
      </c>
      <c r="M14" s="134" t="str">
        <f>Results!T149</f>
        <v/>
      </c>
      <c r="N14" s="134" t="str">
        <f>Results!T167</f>
        <v/>
      </c>
      <c r="O14" s="134" t="str">
        <f>Results!T185</f>
        <v/>
      </c>
      <c r="P14" s="12" t="str">
        <f>Results!T203</f>
        <v/>
      </c>
      <c r="Q14" s="12" t="str">
        <f>Results!T221</f>
        <v/>
      </c>
      <c r="R14" s="12" t="str">
        <f>Results!T239</f>
        <v/>
      </c>
      <c r="S14" s="12" t="str">
        <f>Results!T257</f>
        <v/>
      </c>
      <c r="T14" s="12" t="str">
        <f>Results!T275</f>
        <v/>
      </c>
      <c r="U14" s="12" t="str">
        <f>Results!T293</f>
        <v/>
      </c>
      <c r="V14" s="12" t="str">
        <f>Results!T311</f>
        <v/>
      </c>
      <c r="W14" s="12" t="str">
        <f>Results!T329</f>
        <v/>
      </c>
      <c r="X14" s="13" t="str">
        <f>Results!T347</f>
        <v/>
      </c>
    </row>
    <row r="15" spans="2:24">
      <c r="B15" s="72" t="str">
        <f>'Sample ID'!D15</f>
        <v>B 7-12</v>
      </c>
      <c r="C15" s="79">
        <f>'Sample ID'!E15</f>
        <v>0</v>
      </c>
      <c r="D15" s="79">
        <f>'Sample ID'!F15</f>
        <v>0</v>
      </c>
      <c r="E15" s="79" t="str">
        <f t="shared" si="0"/>
        <v>0 - DF 0</v>
      </c>
      <c r="F15" s="41" t="str">
        <f>Results!T24</f>
        <v/>
      </c>
      <c r="G15" s="41" t="str">
        <f>Results!T42</f>
        <v/>
      </c>
      <c r="H15" s="41" t="str">
        <f>Results!T60</f>
        <v/>
      </c>
      <c r="I15" s="41" t="str">
        <f>Results!T78</f>
        <v/>
      </c>
      <c r="J15" s="41" t="str">
        <f>Results!T96</f>
        <v/>
      </c>
      <c r="K15" s="41" t="str">
        <f>Results!T114</f>
        <v/>
      </c>
      <c r="L15" s="41" t="str">
        <f>Results!T132</f>
        <v/>
      </c>
      <c r="M15" s="41" t="str">
        <f>Results!T150</f>
        <v/>
      </c>
      <c r="N15" s="41" t="str">
        <f>Results!T168</f>
        <v/>
      </c>
      <c r="O15" s="41" t="str">
        <f>Results!T186</f>
        <v/>
      </c>
      <c r="P15" s="15" t="str">
        <f>Results!T204</f>
        <v/>
      </c>
      <c r="Q15" s="15" t="str">
        <f>Results!T222</f>
        <v/>
      </c>
      <c r="R15" s="15" t="str">
        <f>Results!T240</f>
        <v/>
      </c>
      <c r="S15" s="15" t="str">
        <f>Results!T258</f>
        <v/>
      </c>
      <c r="T15" s="15" t="str">
        <f>Results!T276</f>
        <v/>
      </c>
      <c r="U15" s="15" t="str">
        <f>Results!T294</f>
        <v/>
      </c>
      <c r="V15" s="15" t="str">
        <f>Results!T312</f>
        <v/>
      </c>
      <c r="W15" s="15" t="str">
        <f>Results!T330</f>
        <v/>
      </c>
      <c r="X15" s="16" t="str">
        <f>Results!T348</f>
        <v/>
      </c>
    </row>
    <row r="16" spans="2:24">
      <c r="B16" s="72" t="str">
        <f>'Sample ID'!D16</f>
        <v>C7-12</v>
      </c>
      <c r="C16" s="79">
        <f>'Sample ID'!E16</f>
        <v>0</v>
      </c>
      <c r="D16" s="79">
        <f>'Sample ID'!F16</f>
        <v>0</v>
      </c>
      <c r="E16" s="79" t="str">
        <f t="shared" si="0"/>
        <v>0 - DF 0</v>
      </c>
      <c r="F16" s="41" t="str">
        <f>Results!T25</f>
        <v/>
      </c>
      <c r="G16" s="41" t="str">
        <f>Results!T43</f>
        <v/>
      </c>
      <c r="H16" s="41" t="str">
        <f>Results!T61</f>
        <v/>
      </c>
      <c r="I16" s="41" t="str">
        <f>Results!T79</f>
        <v/>
      </c>
      <c r="J16" s="41" t="str">
        <f>Results!T97</f>
        <v/>
      </c>
      <c r="K16" s="41" t="str">
        <f>Results!T115</f>
        <v/>
      </c>
      <c r="L16" s="41" t="str">
        <f>Results!T133</f>
        <v/>
      </c>
      <c r="M16" s="41" t="str">
        <f>Results!T151</f>
        <v/>
      </c>
      <c r="N16" s="41" t="str">
        <f>Results!T169</f>
        <v/>
      </c>
      <c r="O16" s="41" t="str">
        <f>Results!T187</f>
        <v/>
      </c>
      <c r="P16" s="15" t="str">
        <f>Results!T205</f>
        <v/>
      </c>
      <c r="Q16" s="15" t="str">
        <f>Results!T223</f>
        <v/>
      </c>
      <c r="R16" s="15" t="str">
        <f>Results!T241</f>
        <v/>
      </c>
      <c r="S16" s="15" t="str">
        <f>Results!T259</f>
        <v/>
      </c>
      <c r="T16" s="15" t="str">
        <f>Results!T277</f>
        <v/>
      </c>
      <c r="U16" s="15" t="str">
        <f>Results!T295</f>
        <v/>
      </c>
      <c r="V16" s="15" t="str">
        <f>Results!T313</f>
        <v/>
      </c>
      <c r="W16" s="15" t="str">
        <f>Results!T331</f>
        <v/>
      </c>
      <c r="X16" s="16" t="str">
        <f>Results!T349</f>
        <v/>
      </c>
    </row>
    <row r="17" spans="2:24">
      <c r="B17" s="72" t="str">
        <f>'Sample ID'!D17</f>
        <v>D 7-12</v>
      </c>
      <c r="C17" s="79">
        <f>'Sample ID'!E17</f>
        <v>0</v>
      </c>
      <c r="D17" s="79">
        <f>'Sample ID'!F17</f>
        <v>0</v>
      </c>
      <c r="E17" s="79" t="str">
        <f t="shared" si="0"/>
        <v>0 - DF 0</v>
      </c>
      <c r="F17" s="41" t="str">
        <f>Results!T26</f>
        <v/>
      </c>
      <c r="G17" s="41" t="str">
        <f>Results!T44</f>
        <v/>
      </c>
      <c r="H17" s="41" t="str">
        <f>Results!T62</f>
        <v/>
      </c>
      <c r="I17" s="41" t="str">
        <f>Results!T80</f>
        <v/>
      </c>
      <c r="J17" s="41" t="str">
        <f>Results!T98</f>
        <v/>
      </c>
      <c r="K17" s="41" t="str">
        <f>Results!T116</f>
        <v/>
      </c>
      <c r="L17" s="41" t="str">
        <f>Results!T134</f>
        <v/>
      </c>
      <c r="M17" s="41" t="str">
        <f>Results!T152</f>
        <v/>
      </c>
      <c r="N17" s="41" t="str">
        <f>Results!T170</f>
        <v/>
      </c>
      <c r="O17" s="41" t="str">
        <f>Results!T188</f>
        <v/>
      </c>
      <c r="P17" s="15" t="str">
        <f>Results!T206</f>
        <v/>
      </c>
      <c r="Q17" s="15" t="str">
        <f>Results!T224</f>
        <v/>
      </c>
      <c r="R17" s="15" t="str">
        <f>Results!T242</f>
        <v/>
      </c>
      <c r="S17" s="15" t="str">
        <f>Results!T260</f>
        <v/>
      </c>
      <c r="T17" s="15" t="str">
        <f>Results!T278</f>
        <v/>
      </c>
      <c r="U17" s="15" t="str">
        <f>Results!T296</f>
        <v/>
      </c>
      <c r="V17" s="15" t="str">
        <f>Results!T314</f>
        <v/>
      </c>
      <c r="W17" s="15" t="str">
        <f>Results!T332</f>
        <v/>
      </c>
      <c r="X17" s="16" t="str">
        <f>Results!T350</f>
        <v/>
      </c>
    </row>
    <row r="18" spans="2:24">
      <c r="B18" s="72" t="str">
        <f>'Sample ID'!D18</f>
        <v>E 7-12</v>
      </c>
      <c r="C18" s="79">
        <f>'Sample ID'!E18</f>
        <v>0</v>
      </c>
      <c r="D18" s="79">
        <f>'Sample ID'!F18</f>
        <v>0</v>
      </c>
      <c r="E18" s="79" t="str">
        <f t="shared" si="0"/>
        <v>0 - DF 0</v>
      </c>
      <c r="F18" s="41" t="str">
        <f>Results!T27</f>
        <v/>
      </c>
      <c r="G18" s="41" t="str">
        <f>Results!T45</f>
        <v/>
      </c>
      <c r="H18" s="41" t="str">
        <f>Results!T63</f>
        <v/>
      </c>
      <c r="I18" s="41" t="str">
        <f>Results!T81</f>
        <v/>
      </c>
      <c r="J18" s="41" t="str">
        <f>Results!T99</f>
        <v/>
      </c>
      <c r="K18" s="41" t="str">
        <f>Results!T117</f>
        <v/>
      </c>
      <c r="L18" s="41" t="str">
        <f>Results!T135</f>
        <v/>
      </c>
      <c r="M18" s="41" t="str">
        <f>Results!T153</f>
        <v/>
      </c>
      <c r="N18" s="41" t="str">
        <f>Results!T171</f>
        <v/>
      </c>
      <c r="O18" s="41" t="str">
        <f>Results!T189</f>
        <v/>
      </c>
      <c r="P18" s="15" t="str">
        <f>Results!T207</f>
        <v/>
      </c>
      <c r="Q18" s="15" t="str">
        <f>Results!T225</f>
        <v/>
      </c>
      <c r="R18" s="15" t="str">
        <f>Results!T243</f>
        <v/>
      </c>
      <c r="S18" s="15" t="str">
        <f>Results!T261</f>
        <v/>
      </c>
      <c r="T18" s="15" t="str">
        <f>Results!T279</f>
        <v/>
      </c>
      <c r="U18" s="15" t="str">
        <f>Results!T297</f>
        <v/>
      </c>
      <c r="V18" s="15" t="str">
        <f>Results!T315</f>
        <v/>
      </c>
      <c r="W18" s="15" t="str">
        <f>Results!T333</f>
        <v/>
      </c>
      <c r="X18" s="16" t="str">
        <f>Results!T351</f>
        <v/>
      </c>
    </row>
    <row r="19" spans="2:24">
      <c r="B19" s="72" t="str">
        <f>'Sample ID'!D19</f>
        <v>F 7-12</v>
      </c>
      <c r="C19" s="79">
        <f>'Sample ID'!E19</f>
        <v>0</v>
      </c>
      <c r="D19" s="79">
        <f>'Sample ID'!F19</f>
        <v>0</v>
      </c>
      <c r="E19" s="79" t="str">
        <f t="shared" si="0"/>
        <v>0 - DF 0</v>
      </c>
      <c r="F19" s="41" t="str">
        <f>Results!T28</f>
        <v/>
      </c>
      <c r="G19" s="41" t="str">
        <f>Results!T46</f>
        <v/>
      </c>
      <c r="H19" s="41" t="str">
        <f>Results!T64</f>
        <v/>
      </c>
      <c r="I19" s="41" t="str">
        <f>Results!T82</f>
        <v/>
      </c>
      <c r="J19" s="41" t="str">
        <f>Results!T100</f>
        <v/>
      </c>
      <c r="K19" s="41" t="str">
        <f>Results!T118</f>
        <v/>
      </c>
      <c r="L19" s="41" t="str">
        <f>Results!T136</f>
        <v/>
      </c>
      <c r="M19" s="41" t="str">
        <f>Results!T154</f>
        <v/>
      </c>
      <c r="N19" s="41" t="str">
        <f>Results!T172</f>
        <v/>
      </c>
      <c r="O19" s="41" t="str">
        <f>Results!T190</f>
        <v/>
      </c>
      <c r="P19" s="15" t="str">
        <f>Results!T208</f>
        <v/>
      </c>
      <c r="Q19" s="15" t="str">
        <f>Results!T226</f>
        <v/>
      </c>
      <c r="R19" s="15" t="str">
        <f>Results!T244</f>
        <v/>
      </c>
      <c r="S19" s="15" t="str">
        <f>Results!T262</f>
        <v/>
      </c>
      <c r="T19" s="15" t="str">
        <f>Results!T280</f>
        <v/>
      </c>
      <c r="U19" s="15" t="str">
        <f>Results!T298</f>
        <v/>
      </c>
      <c r="V19" s="15" t="str">
        <f>Results!T316</f>
        <v/>
      </c>
      <c r="W19" s="15" t="str">
        <f>Results!T334</f>
        <v/>
      </c>
      <c r="X19" s="16" t="str">
        <f>Results!T352</f>
        <v/>
      </c>
    </row>
    <row r="20" spans="2:24">
      <c r="B20" s="72" t="str">
        <f>'Sample ID'!D20</f>
        <v>G 7-12</v>
      </c>
      <c r="C20" s="79">
        <f>'Sample ID'!E20</f>
        <v>0</v>
      </c>
      <c r="D20" s="79">
        <f>'Sample ID'!F20</f>
        <v>0</v>
      </c>
      <c r="E20" s="79" t="str">
        <f t="shared" si="0"/>
        <v>0 - DF 0</v>
      </c>
      <c r="F20" s="41" t="str">
        <f>Results!T29</f>
        <v/>
      </c>
      <c r="G20" s="41" t="str">
        <f>Results!T47</f>
        <v/>
      </c>
      <c r="H20" s="41" t="str">
        <f>Results!T65</f>
        <v/>
      </c>
      <c r="I20" s="41" t="str">
        <f>Results!T83</f>
        <v/>
      </c>
      <c r="J20" s="41" t="str">
        <f>Results!T101</f>
        <v/>
      </c>
      <c r="K20" s="41" t="str">
        <f>Results!T119</f>
        <v/>
      </c>
      <c r="L20" s="41" t="str">
        <f>Results!T137</f>
        <v/>
      </c>
      <c r="M20" s="41" t="str">
        <f>Results!T155</f>
        <v/>
      </c>
      <c r="N20" s="41" t="str">
        <f>Results!T173</f>
        <v/>
      </c>
      <c r="O20" s="41" t="str">
        <f>Results!T191</f>
        <v/>
      </c>
      <c r="P20" s="15" t="str">
        <f>Results!T209</f>
        <v/>
      </c>
      <c r="Q20" s="15" t="str">
        <f>Results!T227</f>
        <v/>
      </c>
      <c r="R20" s="15" t="str">
        <f>Results!T245</f>
        <v/>
      </c>
      <c r="S20" s="15" t="str">
        <f>Results!T263</f>
        <v/>
      </c>
      <c r="T20" s="15" t="str">
        <f>Results!T281</f>
        <v/>
      </c>
      <c r="U20" s="15" t="str">
        <f>Results!T299</f>
        <v/>
      </c>
      <c r="V20" s="15" t="str">
        <f>Results!T317</f>
        <v/>
      </c>
      <c r="W20" s="15" t="str">
        <f>Results!T335</f>
        <v/>
      </c>
      <c r="X20" s="16" t="str">
        <f>Results!T353</f>
        <v/>
      </c>
    </row>
    <row r="21" spans="2:24">
      <c r="B21" s="60" t="str">
        <f>'Sample ID'!D21</f>
        <v>H 7-12</v>
      </c>
      <c r="C21" s="136">
        <f>'Sample ID'!E21</f>
        <v>0</v>
      </c>
      <c r="D21" s="136">
        <f>'Sample ID'!F21</f>
        <v>0</v>
      </c>
      <c r="E21" s="136" t="str">
        <f t="shared" si="0"/>
        <v>0 - DF 0</v>
      </c>
      <c r="F21" s="42" t="str">
        <f>Results!T30</f>
        <v/>
      </c>
      <c r="G21" s="42" t="str">
        <f>Results!T48</f>
        <v/>
      </c>
      <c r="H21" s="42" t="str">
        <f>Results!T66</f>
        <v/>
      </c>
      <c r="I21" s="42" t="str">
        <f>Results!T84</f>
        <v/>
      </c>
      <c r="J21" s="42" t="str">
        <f>Results!T102</f>
        <v/>
      </c>
      <c r="K21" s="42" t="str">
        <f>Results!T120</f>
        <v/>
      </c>
      <c r="L21" s="42" t="str">
        <f>Results!T138</f>
        <v/>
      </c>
      <c r="M21" s="42" t="str">
        <f>Results!T156</f>
        <v/>
      </c>
      <c r="N21" s="42" t="str">
        <f>Results!T174</f>
        <v/>
      </c>
      <c r="O21" s="42" t="str">
        <f>Results!T192</f>
        <v/>
      </c>
      <c r="P21" s="17" t="str">
        <f>Results!T210</f>
        <v/>
      </c>
      <c r="Q21" s="17" t="str">
        <f>Results!T228</f>
        <v/>
      </c>
      <c r="R21" s="17" t="str">
        <f>Results!T246</f>
        <v/>
      </c>
      <c r="S21" s="17" t="str">
        <f>Results!T264</f>
        <v/>
      </c>
      <c r="T21" s="17" t="str">
        <f>Results!T282</f>
        <v/>
      </c>
      <c r="U21" s="17" t="str">
        <f>Results!T300</f>
        <v/>
      </c>
      <c r="V21" s="17" t="str">
        <f>Results!T318</f>
        <v/>
      </c>
      <c r="W21" s="17" t="str">
        <f>Results!T336</f>
        <v/>
      </c>
      <c r="X21" s="18" t="str">
        <f>Results!T354</f>
        <v/>
      </c>
    </row>
    <row r="23" spans="2:24">
      <c r="B23" s="138" t="s">
        <v>37</v>
      </c>
      <c r="C23" s="139" t="s">
        <v>38</v>
      </c>
      <c r="D23" s="83" t="s">
        <v>25</v>
      </c>
      <c r="E23" s="140" t="s">
        <v>104</v>
      </c>
      <c r="F23" s="141">
        <v>0</v>
      </c>
      <c r="G23" s="141">
        <v>5</v>
      </c>
      <c r="H23" s="141">
        <v>10</v>
      </c>
      <c r="I23" s="141">
        <v>15</v>
      </c>
      <c r="J23" s="141">
        <v>20</v>
      </c>
      <c r="K23" s="141">
        <v>25</v>
      </c>
      <c r="L23" s="141">
        <v>30</v>
      </c>
      <c r="M23" s="141">
        <v>35</v>
      </c>
      <c r="N23" s="141">
        <v>40</v>
      </c>
      <c r="O23" s="141">
        <v>45</v>
      </c>
      <c r="P23" s="141">
        <v>50</v>
      </c>
      <c r="Q23" s="141">
        <v>55</v>
      </c>
      <c r="R23" s="141">
        <v>60</v>
      </c>
      <c r="S23" s="141">
        <v>65</v>
      </c>
      <c r="T23" s="141">
        <v>70</v>
      </c>
      <c r="U23" s="141">
        <v>75</v>
      </c>
      <c r="V23" s="141">
        <v>80</v>
      </c>
      <c r="W23" s="141">
        <v>85</v>
      </c>
      <c r="X23" s="152">
        <v>90</v>
      </c>
    </row>
    <row r="24" spans="2:24">
      <c r="B24" s="71" t="str">
        <f>B6</f>
        <v>A 1-6</v>
      </c>
      <c r="C24" s="133">
        <f>C6</f>
        <v>484</v>
      </c>
      <c r="D24" s="135">
        <f t="shared" ref="D24:E24" si="1">D6</f>
        <v>1</v>
      </c>
      <c r="E24" s="153" t="str">
        <f t="shared" si="1"/>
        <v>484 - DF 1</v>
      </c>
      <c r="F24" s="134">
        <f>Results!U14</f>
        <v>1.4371547880769921E-2</v>
      </c>
      <c r="G24" s="134">
        <f>Results!U32</f>
        <v>1.0230736078622403E-2</v>
      </c>
      <c r="H24" s="134">
        <f>Results!U50</f>
        <v>1.3701890501427736E-2</v>
      </c>
      <c r="I24" s="134">
        <f>Results!U68</f>
        <v>4.3064529171719301E-3</v>
      </c>
      <c r="J24" s="134">
        <f>Results!U86</f>
        <v>1.0915526659993218E-2</v>
      </c>
      <c r="K24" s="134">
        <f>Results!U104</f>
        <v>1.2958627409709279E-2</v>
      </c>
      <c r="L24" s="134">
        <f>Results!U122</f>
        <v>1.4841159142697716E-2</v>
      </c>
      <c r="M24" s="134">
        <f>Results!U140</f>
        <v>1.0620617263458121E-2</v>
      </c>
      <c r="N24" s="134">
        <f>Results!U158</f>
        <v>1.5714168504032899E-2</v>
      </c>
      <c r="O24" s="134">
        <f>Results!U176</f>
        <v>1.630916078152421E-2</v>
      </c>
      <c r="P24" s="12">
        <f>Results!U194</f>
        <v>1.2721197332949392E-2</v>
      </c>
      <c r="Q24" s="12">
        <f>Results!U212</f>
        <v>1.1449410436190929E-2</v>
      </c>
      <c r="R24" s="12">
        <f>Results!U230</f>
        <v>1.0620617263458121E-2</v>
      </c>
      <c r="S24" s="12">
        <f>Results!U248</f>
        <v>1.3075725820144025E-2</v>
      </c>
      <c r="T24" s="12">
        <f>Results!U266</f>
        <v>8.9598721905561583E-3</v>
      </c>
      <c r="U24" s="12" t="str">
        <f>Results!U284</f>
        <v/>
      </c>
      <c r="V24" s="12" t="str">
        <f>Results!U302</f>
        <v/>
      </c>
      <c r="W24" s="12" t="str">
        <f>Results!U320</f>
        <v/>
      </c>
      <c r="X24" s="12" t="str">
        <f>Results!U338</f>
        <v/>
      </c>
    </row>
    <row r="25" spans="2:24">
      <c r="B25" s="72" t="str">
        <f t="shared" ref="B25:C39" si="2">B7</f>
        <v>B 1-6</v>
      </c>
      <c r="C25" s="86">
        <f>C7</f>
        <v>548</v>
      </c>
      <c r="D25" s="79">
        <f t="shared" ref="D25:E25" si="3">D7</f>
        <v>1</v>
      </c>
      <c r="E25" s="154" t="str">
        <f t="shared" si="3"/>
        <v>548 - DF 1</v>
      </c>
      <c r="F25" s="41">
        <f>Results!U15</f>
        <v>5.451941714121172E-3</v>
      </c>
      <c r="G25" s="41">
        <f>Results!U33</f>
        <v>7.5268056954301216E-3</v>
      </c>
      <c r="H25" s="41">
        <f>Results!U51</f>
        <v>1.0118375594703438E-2</v>
      </c>
      <c r="I25" s="41">
        <f>Results!U69</f>
        <v>4.619531324648294E-3</v>
      </c>
      <c r="J25" s="41">
        <f>Results!U87</f>
        <v>5.2622505515762391E-3</v>
      </c>
      <c r="K25" s="41">
        <f>Results!U105</f>
        <v>3.4920374453406336E-3</v>
      </c>
      <c r="L25" s="41">
        <f>Results!U123</f>
        <v>6.6677191345391107E-3</v>
      </c>
      <c r="M25" s="41">
        <f>Results!U141</f>
        <v>9.7214208209178646E-3</v>
      </c>
      <c r="N25" s="41">
        <f>Results!U159</f>
        <v>1.0230736078622217E-2</v>
      </c>
      <c r="O25" s="41">
        <f>Results!U177</f>
        <v>1.6223260845650483E-2</v>
      </c>
      <c r="P25" s="15">
        <f>Results!U195</f>
        <v>1.8173139047070945E-3</v>
      </c>
      <c r="Q25" s="15">
        <f>Results!U213</f>
        <v>5.7247052180956163E-3</v>
      </c>
      <c r="R25" s="15">
        <f>Results!U231</f>
        <v>1.093877594439502E-2</v>
      </c>
      <c r="S25" s="15">
        <f>Results!U249</f>
        <v>9.0725794158946493E-3</v>
      </c>
      <c r="T25" s="15">
        <f>Results!U267</f>
        <v>3.0241931386313582E-3</v>
      </c>
      <c r="U25" s="15" t="str">
        <f>Results!U285</f>
        <v/>
      </c>
      <c r="V25" s="15" t="str">
        <f>Results!U303</f>
        <v/>
      </c>
      <c r="W25" s="15" t="str">
        <f>Results!U321</f>
        <v/>
      </c>
      <c r="X25" s="15" t="str">
        <f>Results!U339</f>
        <v/>
      </c>
    </row>
    <row r="26" spans="2:24">
      <c r="B26" s="72" t="str">
        <f t="shared" si="2"/>
        <v>C1-6</v>
      </c>
      <c r="C26" s="86">
        <f t="shared" si="2"/>
        <v>716</v>
      </c>
      <c r="D26" s="79">
        <f t="shared" ref="D26:E26" si="4">D8</f>
        <v>1</v>
      </c>
      <c r="E26" s="154" t="str">
        <f t="shared" si="4"/>
        <v>716 - DF 1</v>
      </c>
      <c r="F26" s="41">
        <f>Results!U16</f>
        <v>2.1006716895858368E-2</v>
      </c>
      <c r="G26" s="41">
        <f>Results!U34</f>
        <v>1.4917990505889737E-2</v>
      </c>
      <c r="H26" s="41">
        <f>Results!U52</f>
        <v>1.1526809553152327E-2</v>
      </c>
      <c r="I26" s="41">
        <f>Results!U70</f>
        <v>1.5329540590044025E-2</v>
      </c>
      <c r="J26" s="41">
        <f>Results!U88</f>
        <v>1.4049756024554924E-2</v>
      </c>
      <c r="K26" s="41">
        <f>Results!U106</f>
        <v>6.7810595888147642E-3</v>
      </c>
      <c r="L26" s="41">
        <f>Results!U124</f>
        <v>9.6031029746866184E-3</v>
      </c>
      <c r="M26" s="41">
        <f>Results!U142</f>
        <v>2.0161287590877252E-3</v>
      </c>
      <c r="N26" s="41">
        <f>Results!U160</f>
        <v>8.3279785298157223E-3</v>
      </c>
      <c r="O26" s="41">
        <f>Results!U178</f>
        <v>1.084547977615849E-2</v>
      </c>
      <c r="P26" s="15">
        <f>Results!U196</f>
        <v>1.4406858862450397E-2</v>
      </c>
      <c r="Q26" s="15">
        <f>Results!U214</f>
        <v>1.7525540620091193E-2</v>
      </c>
      <c r="R26" s="15">
        <f>Results!U232</f>
        <v>2.4713002038934249E-2</v>
      </c>
      <c r="S26" s="15">
        <f>Results!U250</f>
        <v>1.9914056036812556E-2</v>
      </c>
      <c r="T26" s="15">
        <f>Results!U268</f>
        <v>1.2870104440474803E-2</v>
      </c>
      <c r="U26" s="15" t="str">
        <f>Results!U286</f>
        <v/>
      </c>
      <c r="V26" s="15" t="str">
        <f>Results!U304</f>
        <v/>
      </c>
      <c r="W26" s="15" t="str">
        <f>Results!U322</f>
        <v/>
      </c>
      <c r="X26" s="15" t="str">
        <f>Results!U340</f>
        <v/>
      </c>
    </row>
    <row r="27" spans="2:24">
      <c r="B27" s="72" t="str">
        <f t="shared" si="2"/>
        <v>D 1-6</v>
      </c>
      <c r="C27" s="86">
        <f t="shared" si="2"/>
        <v>824</v>
      </c>
      <c r="D27" s="79">
        <f t="shared" ref="D27:E27" si="5">D9</f>
        <v>1</v>
      </c>
      <c r="E27" s="154" t="str">
        <f t="shared" si="5"/>
        <v>824 - DF 1</v>
      </c>
      <c r="F27" s="41">
        <f>Results!U17</f>
        <v>3.5282253284034453E-3</v>
      </c>
      <c r="G27" s="41">
        <f>Results!AE35</f>
        <v>2.0161287590877161E-4</v>
      </c>
      <c r="H27" s="41">
        <f>Results!AE53</f>
        <v>1.1625565556547062E-3</v>
      </c>
      <c r="I27" s="41">
        <f>Results!AE71</f>
        <v>4.9499051971529017E-4</v>
      </c>
      <c r="J27" s="41">
        <f>Results!AE89</f>
        <v>2.5576840196555369E-4</v>
      </c>
      <c r="K27" s="41">
        <f>Results!AE107</f>
        <v>1.2263632472034189E-4</v>
      </c>
      <c r="L27" s="41">
        <f>Results!AE125</f>
        <v>3.111602262784871E-4</v>
      </c>
      <c r="M27" s="41">
        <f>Results!AE143</f>
        <v>2.6436574400019535E-4</v>
      </c>
      <c r="N27" s="41">
        <f>Results!AE161</f>
        <v>2.0279076057063498E-4</v>
      </c>
      <c r="O27" s="41">
        <f>Results!AE179</f>
        <v>8.8902921793854812E-5</v>
      </c>
      <c r="P27" s="15">
        <f>Results!AE197</f>
        <v>1.2096772554525447E-4</v>
      </c>
      <c r="Q27" s="15">
        <f>Results!U215</f>
        <v>5.0403218977204602E-4</v>
      </c>
      <c r="R27" s="15">
        <f>Results!AE233</f>
        <v>9.687971297123143E-5</v>
      </c>
      <c r="S27" s="15">
        <f>Results!AE251</f>
        <v>1.2309635325302595E-4</v>
      </c>
      <c r="T27" s="15">
        <f>Results!AE269</f>
        <v>1.065570750420668E-4</v>
      </c>
      <c r="U27" s="15" t="str">
        <f>Results!AE287</f>
        <v/>
      </c>
      <c r="V27" s="15" t="str">
        <f>Results!AE305</f>
        <v/>
      </c>
      <c r="W27" s="15" t="str">
        <f>Results!AE323</f>
        <v/>
      </c>
      <c r="X27" s="16" t="str">
        <f>Results!AE341</f>
        <v/>
      </c>
    </row>
    <row r="28" spans="2:24">
      <c r="B28" s="72" t="str">
        <f t="shared" si="2"/>
        <v>E 1-6</v>
      </c>
      <c r="C28" s="86">
        <f t="shared" si="2"/>
        <v>437</v>
      </c>
      <c r="D28" s="79">
        <f t="shared" ref="D28:E28" si="6">D10</f>
        <v>1</v>
      </c>
      <c r="E28" s="154" t="str">
        <f t="shared" si="6"/>
        <v>437 - DF 1</v>
      </c>
      <c r="F28" s="41">
        <f>Results!U18</f>
        <v>1.1625565556547181E-2</v>
      </c>
      <c r="G28" s="41">
        <f>Results!AE36</f>
        <v>3.2005051845786993E-3</v>
      </c>
      <c r="H28" s="41">
        <f>Results!AE54</f>
        <v>7.6107191656499111E-4</v>
      </c>
      <c r="I28" s="41">
        <f>Results!AE72</f>
        <v>7.5660811315713642E-4</v>
      </c>
      <c r="J28" s="41">
        <f>Results!AE90</f>
        <v>7.2034294312252561E-4</v>
      </c>
      <c r="K28" s="41">
        <f>Results!AE108</f>
        <v>6.0718622202014317E-4</v>
      </c>
      <c r="L28" s="41">
        <f>Results!AE126</f>
        <v>5.724705218095481E-4</v>
      </c>
      <c r="M28" s="41">
        <f>Results!AE144</f>
        <v>5.4704543029252266E-4</v>
      </c>
      <c r="N28" s="41">
        <f>Results!AE162</f>
        <v>5.2622505515761823E-4</v>
      </c>
      <c r="O28" s="41">
        <f>Results!AE180</f>
        <v>5.2488229957502002E-4</v>
      </c>
      <c r="P28" s="15">
        <f>Results!AE198</f>
        <v>6.7630527601566614E-4</v>
      </c>
      <c r="Q28" s="15">
        <f>Results!U216</f>
        <v>2.7273684325725613E-2</v>
      </c>
      <c r="R28" s="15">
        <f>Results!AE234</f>
        <v>5.831569906038067E-4</v>
      </c>
      <c r="S28" s="15">
        <f>Results!AE252</f>
        <v>6.9361272468732222E-4</v>
      </c>
      <c r="T28" s="15">
        <f>Results!AE270</f>
        <v>7.1429868273639881E-4</v>
      </c>
      <c r="U28" s="15" t="str">
        <f>Results!AE288</f>
        <v/>
      </c>
      <c r="V28" s="15" t="str">
        <f>Results!AE306</f>
        <v/>
      </c>
      <c r="W28" s="15" t="str">
        <f>Results!AE324</f>
        <v/>
      </c>
      <c r="X28" s="16" t="str">
        <f>Results!AE342</f>
        <v/>
      </c>
    </row>
    <row r="29" spans="2:24">
      <c r="B29" s="72" t="str">
        <f t="shared" si="2"/>
        <v>F 1-6</v>
      </c>
      <c r="C29" s="86">
        <f t="shared" si="2"/>
        <v>0</v>
      </c>
      <c r="D29" s="79">
        <f t="shared" ref="D29:E29" si="7">D11</f>
        <v>0</v>
      </c>
      <c r="E29" s="154" t="str">
        <f t="shared" si="7"/>
        <v>0 - DF 0</v>
      </c>
      <c r="F29" s="41">
        <f>Results!U19</f>
        <v>1.9173108895745548E-2</v>
      </c>
      <c r="G29" s="41">
        <f>Results!AE37</f>
        <v>8.0645150363506759E-4</v>
      </c>
      <c r="H29" s="41">
        <f>Results!AE55</f>
        <v>4.9641413645915206E-4</v>
      </c>
      <c r="I29" s="41">
        <f>Results!AE73</f>
        <v>5.4077536152168711E-4</v>
      </c>
      <c r="J29" s="41">
        <f>Results!AE91</f>
        <v>5.3638593170357086E-4</v>
      </c>
      <c r="K29" s="41">
        <f>Results!AE109</f>
        <v>6.8696462617145689E-4</v>
      </c>
      <c r="L29" s="41">
        <f>Results!AE127</f>
        <v>5.7786899166004926E-4</v>
      </c>
      <c r="M29" s="41">
        <f>Results!AE145</f>
        <v>4.1212805537096367E-4</v>
      </c>
      <c r="N29" s="41">
        <f>Results!AE163</f>
        <v>2.4040803229973147E-4</v>
      </c>
      <c r="O29" s="41">
        <f>Results!AE181</f>
        <v>1.8708883092875145E-4</v>
      </c>
      <c r="P29" s="15">
        <f>Results!AE199</f>
        <v>2.5442394665898529E-4</v>
      </c>
      <c r="Q29" s="15">
        <f>Results!U217</f>
        <v>2.7721770437455422E-2</v>
      </c>
      <c r="R29" s="15">
        <f>Results!AE235</f>
        <v>3.1510411277468149E-4</v>
      </c>
      <c r="S29" s="15">
        <f>Results!AE253</f>
        <v>3.9714039368739961E-4</v>
      </c>
      <c r="T29" s="15">
        <f>Results!AE271</f>
        <v>4.8607104104589094E-4</v>
      </c>
      <c r="U29" s="15" t="str">
        <f>Results!AE289</f>
        <v/>
      </c>
      <c r="V29" s="15" t="str">
        <f>Results!AE307</f>
        <v/>
      </c>
      <c r="W29" s="15" t="str">
        <f>Results!AE325</f>
        <v/>
      </c>
      <c r="X29" s="16" t="str">
        <f>Results!AE343</f>
        <v/>
      </c>
    </row>
    <row r="30" spans="2:24">
      <c r="B30" s="72" t="str">
        <f t="shared" si="2"/>
        <v>G 1-6</v>
      </c>
      <c r="C30" s="86">
        <f t="shared" si="2"/>
        <v>0</v>
      </c>
      <c r="D30" s="79">
        <f t="shared" ref="D30:E30" si="8">D12</f>
        <v>0</v>
      </c>
      <c r="E30" s="154" t="str">
        <f t="shared" si="8"/>
        <v>0 - DF 0</v>
      </c>
      <c r="F30" s="41">
        <f>Results!U20</f>
        <v>5.2622505515761229E-3</v>
      </c>
      <c r="G30" s="41">
        <f>Results!AE38</f>
        <v>1.3220640394794668E-3</v>
      </c>
      <c r="H30" s="41">
        <f>Results!AE56</f>
        <v>4.0322575181754507E-4</v>
      </c>
      <c r="I30" s="41">
        <f>Results!AE74</f>
        <v>2.7504541877750792E-4</v>
      </c>
      <c r="J30" s="41">
        <f>Results!AE92</f>
        <v>4.1639892649079647E-4</v>
      </c>
      <c r="K30" s="41">
        <f>Results!AE110</f>
        <v>2.0161287590879624E-5</v>
      </c>
      <c r="L30" s="41">
        <f>Results!AE128</f>
        <v>1.0492266720846565E-4</v>
      </c>
      <c r="M30" s="41">
        <f>Results!AE146</f>
        <v>2.880183941553583E-5</v>
      </c>
      <c r="N30" s="41">
        <f>Results!AE164</f>
        <v>1.4856129693949523E-4</v>
      </c>
      <c r="O30" s="41">
        <f>Results!AE182</f>
        <v>9.9554135450627496E-5</v>
      </c>
      <c r="P30" s="15">
        <f>Results!AE200</f>
        <v>1.5120965693157714E-4</v>
      </c>
      <c r="Q30" s="15">
        <f>Results!U218</f>
        <v>1.2356501019467067E-2</v>
      </c>
      <c r="R30" s="15">
        <f>Results!AE236</f>
        <v>1.7358850403190171E-4</v>
      </c>
      <c r="S30" s="15">
        <f>Results!AE254</f>
        <v>8.3876026371094484E-5</v>
      </c>
      <c r="T30" s="15">
        <f>Results!AE272</f>
        <v>8.0180927540894509E-5</v>
      </c>
      <c r="U30" s="15" t="str">
        <f>Results!AE290</f>
        <v/>
      </c>
      <c r="V30" s="15" t="str">
        <f>Results!AE308</f>
        <v/>
      </c>
      <c r="W30" s="15" t="str">
        <f>Results!AE326</f>
        <v/>
      </c>
      <c r="X30" s="16" t="str">
        <f>Results!AE344</f>
        <v/>
      </c>
    </row>
    <row r="31" spans="2:24">
      <c r="B31" s="72" t="str">
        <f t="shared" si="2"/>
        <v>H 1-6</v>
      </c>
      <c r="C31" s="102">
        <f t="shared" si="2"/>
        <v>0</v>
      </c>
      <c r="D31" s="136">
        <f t="shared" ref="D31:E31" si="9">D13</f>
        <v>0</v>
      </c>
      <c r="E31" s="155" t="str">
        <f t="shared" si="9"/>
        <v>0 - DF 0</v>
      </c>
      <c r="F31" s="41" t="str">
        <f>Results!U21</f>
        <v/>
      </c>
      <c r="G31" s="41" t="str">
        <f>Results!AE39</f>
        <v/>
      </c>
      <c r="H31" s="41" t="str">
        <f>Results!AE57</f>
        <v/>
      </c>
      <c r="I31" s="41" t="str">
        <f>Results!AE75</f>
        <v/>
      </c>
      <c r="J31" s="41" t="str">
        <f>Results!AE93</f>
        <v/>
      </c>
      <c r="K31" s="41" t="str">
        <f>Results!AE111</f>
        <v/>
      </c>
      <c r="L31" s="41" t="str">
        <f>Results!AE129</f>
        <v/>
      </c>
      <c r="M31" s="41" t="str">
        <f>Results!AE147</f>
        <v/>
      </c>
      <c r="N31" s="41" t="str">
        <f>Results!AE165</f>
        <v/>
      </c>
      <c r="O31" s="41" t="str">
        <f>Results!AE183</f>
        <v/>
      </c>
      <c r="P31" s="15" t="str">
        <f>Results!AE201</f>
        <v/>
      </c>
      <c r="Q31" s="15" t="str">
        <f>Results!U219</f>
        <v/>
      </c>
      <c r="R31" s="15" t="str">
        <f>Results!AE237</f>
        <v/>
      </c>
      <c r="S31" s="15" t="str">
        <f>Results!AE255</f>
        <v/>
      </c>
      <c r="T31" s="15" t="str">
        <f>Results!AE273</f>
        <v/>
      </c>
      <c r="U31" s="15" t="str">
        <f>Results!AE291</f>
        <v/>
      </c>
      <c r="V31" s="15" t="str">
        <f>Results!AE309</f>
        <v/>
      </c>
      <c r="W31" s="15" t="str">
        <f>Results!AE327</f>
        <v/>
      </c>
      <c r="X31" s="16" t="str">
        <f>Results!AE345</f>
        <v/>
      </c>
    </row>
    <row r="32" spans="2:24">
      <c r="B32" s="72" t="str">
        <f t="shared" si="2"/>
        <v>A 7-12</v>
      </c>
      <c r="C32" s="133">
        <f t="shared" si="2"/>
        <v>0</v>
      </c>
      <c r="D32" s="135">
        <f t="shared" ref="D32:E32" si="10">D14</f>
        <v>0</v>
      </c>
      <c r="E32" s="153" t="str">
        <f t="shared" si="10"/>
        <v>0 - DF 0</v>
      </c>
      <c r="F32" s="134" t="str">
        <f>Results!U23</f>
        <v/>
      </c>
      <c r="G32" s="134" t="str">
        <f>Results!U41</f>
        <v/>
      </c>
      <c r="H32" s="134" t="str">
        <f>Results!U59</f>
        <v/>
      </c>
      <c r="I32" s="134" t="str">
        <f>Results!U77</f>
        <v/>
      </c>
      <c r="J32" s="134" t="str">
        <f>Results!U95</f>
        <v/>
      </c>
      <c r="K32" s="134" t="str">
        <f>Results!U113</f>
        <v/>
      </c>
      <c r="L32" s="134" t="str">
        <f>Results!U131</f>
        <v/>
      </c>
      <c r="M32" s="134" t="str">
        <f>Results!U149</f>
        <v/>
      </c>
      <c r="N32" s="134" t="str">
        <f>Results!U167</f>
        <v/>
      </c>
      <c r="O32" s="134" t="str">
        <f>Results!U185</f>
        <v/>
      </c>
      <c r="P32" s="12" t="str">
        <f>Results!U203</f>
        <v/>
      </c>
      <c r="Q32" s="12" t="str">
        <f>Results!U221</f>
        <v/>
      </c>
      <c r="R32" s="12" t="str">
        <f>Results!U239</f>
        <v/>
      </c>
      <c r="S32" s="12" t="str">
        <f>Results!U257</f>
        <v/>
      </c>
      <c r="T32" s="12" t="str">
        <f>Results!U275</f>
        <v/>
      </c>
      <c r="U32" s="12" t="str">
        <f>Results!U293</f>
        <v/>
      </c>
      <c r="V32" s="12" t="str">
        <f>Results!U311</f>
        <v/>
      </c>
      <c r="W32" s="12" t="str">
        <f>Results!U329</f>
        <v/>
      </c>
      <c r="X32" s="13" t="str">
        <f>Results!U347</f>
        <v/>
      </c>
    </row>
    <row r="33" spans="2:24">
      <c r="B33" s="72" t="str">
        <f t="shared" si="2"/>
        <v>B 7-12</v>
      </c>
      <c r="C33" s="86">
        <f t="shared" si="2"/>
        <v>0</v>
      </c>
      <c r="D33" s="79">
        <f t="shared" ref="D33:E33" si="11">D15</f>
        <v>0</v>
      </c>
      <c r="E33" s="154" t="str">
        <f t="shared" si="11"/>
        <v>0 - DF 0</v>
      </c>
      <c r="F33" s="41" t="str">
        <f>Results!U24</f>
        <v/>
      </c>
      <c r="G33" s="41" t="str">
        <f>Results!U42</f>
        <v/>
      </c>
      <c r="H33" s="41" t="str">
        <f>Results!U60</f>
        <v/>
      </c>
      <c r="I33" s="41" t="str">
        <f>Results!U78</f>
        <v/>
      </c>
      <c r="J33" s="41" t="str">
        <f>Results!U96</f>
        <v/>
      </c>
      <c r="K33" s="41" t="str">
        <f>Results!U114</f>
        <v/>
      </c>
      <c r="L33" s="41" t="str">
        <f>Results!U132</f>
        <v/>
      </c>
      <c r="M33" s="41" t="str">
        <f>Results!U150</f>
        <v/>
      </c>
      <c r="N33" s="41" t="str">
        <f>Results!U168</f>
        <v/>
      </c>
      <c r="O33" s="41" t="str">
        <f>Results!U186</f>
        <v/>
      </c>
      <c r="P33" s="15" t="str">
        <f>Results!U204</f>
        <v/>
      </c>
      <c r="Q33" s="15" t="str">
        <f>Results!U222</f>
        <v/>
      </c>
      <c r="R33" s="15" t="str">
        <f>Results!U240</f>
        <v/>
      </c>
      <c r="S33" s="15" t="str">
        <f>Results!U258</f>
        <v/>
      </c>
      <c r="T33" s="15" t="str">
        <f>Results!U276</f>
        <v/>
      </c>
      <c r="U33" s="15" t="str">
        <f>Results!U294</f>
        <v/>
      </c>
      <c r="V33" s="15" t="str">
        <f>Results!U312</f>
        <v/>
      </c>
      <c r="W33" s="15" t="str">
        <f>Results!U330</f>
        <v/>
      </c>
      <c r="X33" s="16" t="str">
        <f>Results!U348</f>
        <v/>
      </c>
    </row>
    <row r="34" spans="2:24">
      <c r="B34" s="72" t="str">
        <f t="shared" si="2"/>
        <v>C7-12</v>
      </c>
      <c r="C34" s="86">
        <f t="shared" si="2"/>
        <v>0</v>
      </c>
      <c r="D34" s="79">
        <f t="shared" ref="D34:E34" si="12">D16</f>
        <v>0</v>
      </c>
      <c r="E34" s="154" t="str">
        <f t="shared" si="12"/>
        <v>0 - DF 0</v>
      </c>
      <c r="F34" s="41" t="str">
        <f>Results!U25</f>
        <v/>
      </c>
      <c r="G34" s="41" t="str">
        <f>Results!U43</f>
        <v/>
      </c>
      <c r="H34" s="41" t="str">
        <f>Results!U61</f>
        <v/>
      </c>
      <c r="I34" s="41" t="str">
        <f>Results!U79</f>
        <v/>
      </c>
      <c r="J34" s="41" t="str">
        <f>Results!U97</f>
        <v/>
      </c>
      <c r="K34" s="41" t="str">
        <f>Results!U115</f>
        <v/>
      </c>
      <c r="L34" s="41" t="str">
        <f>Results!U133</f>
        <v/>
      </c>
      <c r="M34" s="41" t="str">
        <f>Results!U151</f>
        <v/>
      </c>
      <c r="N34" s="41" t="str">
        <f>Results!U169</f>
        <v/>
      </c>
      <c r="O34" s="41" t="str">
        <f>Results!U187</f>
        <v/>
      </c>
      <c r="P34" s="15" t="str">
        <f>Results!U205</f>
        <v/>
      </c>
      <c r="Q34" s="15" t="str">
        <f>Results!U223</f>
        <v/>
      </c>
      <c r="R34" s="15" t="str">
        <f>Results!U241</f>
        <v/>
      </c>
      <c r="S34" s="15" t="str">
        <f>Results!U259</f>
        <v/>
      </c>
      <c r="T34" s="15" t="str">
        <f>Results!U277</f>
        <v/>
      </c>
      <c r="U34" s="15" t="str">
        <f>Results!U295</f>
        <v/>
      </c>
      <c r="V34" s="15" t="str">
        <f>Results!U313</f>
        <v/>
      </c>
      <c r="W34" s="15" t="str">
        <f>Results!U331</f>
        <v/>
      </c>
      <c r="X34" s="16" t="str">
        <f>Results!U349</f>
        <v/>
      </c>
    </row>
    <row r="35" spans="2:24">
      <c r="B35" s="72" t="str">
        <f t="shared" si="2"/>
        <v>D 7-12</v>
      </c>
      <c r="C35" s="86">
        <f t="shared" si="2"/>
        <v>0</v>
      </c>
      <c r="D35" s="79">
        <f t="shared" ref="D35:E35" si="13">D17</f>
        <v>0</v>
      </c>
      <c r="E35" s="154" t="str">
        <f t="shared" si="13"/>
        <v>0 - DF 0</v>
      </c>
      <c r="F35" s="41" t="str">
        <f>Results!U26</f>
        <v/>
      </c>
      <c r="G35" s="41" t="str">
        <f>Results!U44</f>
        <v/>
      </c>
      <c r="H35" s="41" t="str">
        <f>Results!U62</f>
        <v/>
      </c>
      <c r="I35" s="41" t="str">
        <f>Results!U80</f>
        <v/>
      </c>
      <c r="J35" s="41" t="str">
        <f>Results!U98</f>
        <v/>
      </c>
      <c r="K35" s="41" t="str">
        <f>Results!U116</f>
        <v/>
      </c>
      <c r="L35" s="41" t="str">
        <f>Results!U134</f>
        <v/>
      </c>
      <c r="M35" s="41" t="str">
        <f>Results!U152</f>
        <v/>
      </c>
      <c r="N35" s="41" t="str">
        <f>Results!U170</f>
        <v/>
      </c>
      <c r="O35" s="41" t="str">
        <f>Results!U188</f>
        <v/>
      </c>
      <c r="P35" s="15" t="str">
        <f>Results!U206</f>
        <v/>
      </c>
      <c r="Q35" s="15" t="str">
        <f>Results!U224</f>
        <v/>
      </c>
      <c r="R35" s="15" t="str">
        <f>Results!U242</f>
        <v/>
      </c>
      <c r="S35" s="15" t="str">
        <f>Results!U260</f>
        <v/>
      </c>
      <c r="T35" s="15" t="str">
        <f>Results!U278</f>
        <v/>
      </c>
      <c r="U35" s="15" t="str">
        <f>Results!U296</f>
        <v/>
      </c>
      <c r="V35" s="15" t="str">
        <f>Results!U314</f>
        <v/>
      </c>
      <c r="W35" s="15" t="str">
        <f>Results!U332</f>
        <v/>
      </c>
      <c r="X35" s="16" t="str">
        <f>Results!U350</f>
        <v/>
      </c>
    </row>
    <row r="36" spans="2:24">
      <c r="B36" s="72" t="str">
        <f t="shared" si="2"/>
        <v>E 7-12</v>
      </c>
      <c r="C36" s="86">
        <f t="shared" si="2"/>
        <v>0</v>
      </c>
      <c r="D36" s="79">
        <f t="shared" ref="D36:E36" si="14">D18</f>
        <v>0</v>
      </c>
      <c r="E36" s="154" t="str">
        <f t="shared" si="14"/>
        <v>0 - DF 0</v>
      </c>
      <c r="F36" s="41" t="str">
        <f>Results!U27</f>
        <v/>
      </c>
      <c r="G36" s="41" t="str">
        <f>Results!U45</f>
        <v/>
      </c>
      <c r="H36" s="41" t="str">
        <f>Results!U63</f>
        <v/>
      </c>
      <c r="I36" s="41" t="str">
        <f>Results!U81</f>
        <v/>
      </c>
      <c r="J36" s="41" t="str">
        <f>Results!U99</f>
        <v/>
      </c>
      <c r="K36" s="41" t="str">
        <f>Results!U117</f>
        <v/>
      </c>
      <c r="L36" s="41" t="str">
        <f>Results!U135</f>
        <v/>
      </c>
      <c r="M36" s="41" t="str">
        <f>Results!U153</f>
        <v/>
      </c>
      <c r="N36" s="41" t="str">
        <f>Results!U171</f>
        <v/>
      </c>
      <c r="O36" s="41" t="str">
        <f>Results!U189</f>
        <v/>
      </c>
      <c r="P36" s="15" t="str">
        <f>Results!U207</f>
        <v/>
      </c>
      <c r="Q36" s="15" t="str">
        <f>Results!U225</f>
        <v/>
      </c>
      <c r="R36" s="15" t="str">
        <f>Results!U243</f>
        <v/>
      </c>
      <c r="S36" s="15" t="str">
        <f>Results!U261</f>
        <v/>
      </c>
      <c r="T36" s="15" t="str">
        <f>Results!U279</f>
        <v/>
      </c>
      <c r="U36" s="15" t="str">
        <f>Results!U297</f>
        <v/>
      </c>
      <c r="V36" s="15" t="str">
        <f>Results!U315</f>
        <v/>
      </c>
      <c r="W36" s="15" t="str">
        <f>Results!U333</f>
        <v/>
      </c>
      <c r="X36" s="16" t="str">
        <f>Results!U351</f>
        <v/>
      </c>
    </row>
    <row r="37" spans="2:24">
      <c r="B37" s="72" t="str">
        <f t="shared" si="2"/>
        <v>F 7-12</v>
      </c>
      <c r="C37" s="86">
        <f t="shared" si="2"/>
        <v>0</v>
      </c>
      <c r="D37" s="79">
        <f t="shared" ref="D37:E37" si="15">D19</f>
        <v>0</v>
      </c>
      <c r="E37" s="154" t="str">
        <f t="shared" si="15"/>
        <v>0 - DF 0</v>
      </c>
      <c r="F37" s="41" t="str">
        <f>Results!U28</f>
        <v/>
      </c>
      <c r="G37" s="41" t="str">
        <f>Results!U46</f>
        <v/>
      </c>
      <c r="H37" s="41" t="str">
        <f>Results!U64</f>
        <v/>
      </c>
      <c r="I37" s="41" t="str">
        <f>Results!U82</f>
        <v/>
      </c>
      <c r="J37" s="41" t="str">
        <f>Results!U100</f>
        <v/>
      </c>
      <c r="K37" s="41" t="str">
        <f>Results!U118</f>
        <v/>
      </c>
      <c r="L37" s="41" t="str">
        <f>Results!U136</f>
        <v/>
      </c>
      <c r="M37" s="41" t="str">
        <f>Results!U154</f>
        <v/>
      </c>
      <c r="N37" s="41" t="str">
        <f>Results!U172</f>
        <v/>
      </c>
      <c r="O37" s="41" t="str">
        <f>Results!U190</f>
        <v/>
      </c>
      <c r="P37" s="15" t="str">
        <f>Results!U208</f>
        <v/>
      </c>
      <c r="Q37" s="15" t="str">
        <f>Results!U226</f>
        <v/>
      </c>
      <c r="R37" s="15" t="str">
        <f>Results!U244</f>
        <v/>
      </c>
      <c r="S37" s="15" t="str">
        <f>Results!U262</f>
        <v/>
      </c>
      <c r="T37" s="15" t="str">
        <f>Results!U280</f>
        <v/>
      </c>
      <c r="U37" s="15" t="str">
        <f>Results!U298</f>
        <v/>
      </c>
      <c r="V37" s="15" t="str">
        <f>Results!U316</f>
        <v/>
      </c>
      <c r="W37" s="15" t="str">
        <f>Results!U334</f>
        <v/>
      </c>
      <c r="X37" s="16" t="str">
        <f>Results!U352</f>
        <v/>
      </c>
    </row>
    <row r="38" spans="2:24">
      <c r="B38" s="72" t="str">
        <f t="shared" si="2"/>
        <v>G 7-12</v>
      </c>
      <c r="C38" s="86">
        <f t="shared" si="2"/>
        <v>0</v>
      </c>
      <c r="D38" s="79">
        <f t="shared" ref="D38:E38" si="16">D20</f>
        <v>0</v>
      </c>
      <c r="E38" s="154" t="str">
        <f t="shared" si="16"/>
        <v>0 - DF 0</v>
      </c>
      <c r="F38" s="41" t="str">
        <f>Results!U29</f>
        <v/>
      </c>
      <c r="G38" s="41" t="str">
        <f>Results!U47</f>
        <v/>
      </c>
      <c r="H38" s="41" t="str">
        <f>Results!U65</f>
        <v/>
      </c>
      <c r="I38" s="41" t="str">
        <f>Results!U83</f>
        <v/>
      </c>
      <c r="J38" s="41" t="str">
        <f>Results!U101</f>
        <v/>
      </c>
      <c r="K38" s="41" t="str">
        <f>Results!U119</f>
        <v/>
      </c>
      <c r="L38" s="41" t="str">
        <f>Results!U137</f>
        <v/>
      </c>
      <c r="M38" s="41" t="str">
        <f>Results!U155</f>
        <v/>
      </c>
      <c r="N38" s="41" t="str">
        <f>Results!U173</f>
        <v/>
      </c>
      <c r="O38" s="41" t="str">
        <f>Results!U191</f>
        <v/>
      </c>
      <c r="P38" s="15" t="str">
        <f>Results!U209</f>
        <v/>
      </c>
      <c r="Q38" s="15" t="str">
        <f>Results!U227</f>
        <v/>
      </c>
      <c r="R38" s="15" t="str">
        <f>Results!U245</f>
        <v/>
      </c>
      <c r="S38" s="15" t="str">
        <f>Results!U263</f>
        <v/>
      </c>
      <c r="T38" s="15" t="str">
        <f>Results!U281</f>
        <v/>
      </c>
      <c r="U38" s="15" t="str">
        <f>Results!U299</f>
        <v/>
      </c>
      <c r="V38" s="15" t="str">
        <f>Results!U317</f>
        <v/>
      </c>
      <c r="W38" s="15" t="str">
        <f>Results!U335</f>
        <v/>
      </c>
      <c r="X38" s="16" t="str">
        <f>Results!U353</f>
        <v/>
      </c>
    </row>
    <row r="39" spans="2:24">
      <c r="B39" s="60" t="str">
        <f t="shared" si="2"/>
        <v>H 7-12</v>
      </c>
      <c r="C39" s="102">
        <f t="shared" si="2"/>
        <v>0</v>
      </c>
      <c r="D39" s="136">
        <f t="shared" ref="D39:E39" si="17">D21</f>
        <v>0</v>
      </c>
      <c r="E39" s="155" t="str">
        <f t="shared" si="17"/>
        <v>0 - DF 0</v>
      </c>
      <c r="F39" s="42" t="str">
        <f>Results!U30</f>
        <v/>
      </c>
      <c r="G39" s="42" t="str">
        <f>Results!U48</f>
        <v/>
      </c>
      <c r="H39" s="42" t="str">
        <f>Results!U66</f>
        <v/>
      </c>
      <c r="I39" s="42" t="str">
        <f>Results!U84</f>
        <v/>
      </c>
      <c r="J39" s="42" t="str">
        <f>Results!U102</f>
        <v/>
      </c>
      <c r="K39" s="42" t="str">
        <f>Results!U120</f>
        <v/>
      </c>
      <c r="L39" s="42" t="str">
        <f>Results!U138</f>
        <v/>
      </c>
      <c r="M39" s="42" t="str">
        <f>Results!U156</f>
        <v/>
      </c>
      <c r="N39" s="42" t="str">
        <f>Results!U174</f>
        <v/>
      </c>
      <c r="O39" s="42" t="str">
        <f>Results!U192</f>
        <v/>
      </c>
      <c r="P39" s="17" t="str">
        <f>Results!U210</f>
        <v/>
      </c>
      <c r="Q39" s="17" t="str">
        <f>Results!U228</f>
        <v/>
      </c>
      <c r="R39" s="17" t="str">
        <f>Results!U246</f>
        <v/>
      </c>
      <c r="S39" s="17" t="str">
        <f>Results!U264</f>
        <v/>
      </c>
      <c r="T39" s="17" t="str">
        <f>Results!U282</f>
        <v/>
      </c>
      <c r="U39" s="17" t="str">
        <f>Results!U300</f>
        <v/>
      </c>
      <c r="V39" s="17" t="str">
        <f>Results!U318</f>
        <v/>
      </c>
      <c r="W39" s="17" t="str">
        <f>Results!U336</f>
        <v/>
      </c>
      <c r="X39" s="18" t="str">
        <f>Results!U354</f>
        <v/>
      </c>
    </row>
  </sheetData>
  <mergeCells count="1">
    <mergeCell ref="B3:X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2DF0-0CD2-654D-B588-157EE797C46A}">
  <dimension ref="B3:X39"/>
  <sheetViews>
    <sheetView tabSelected="1" zoomScale="90" zoomScaleNormal="90" workbookViewId="0">
      <selection activeCell="G6" sqref="G6"/>
    </sheetView>
  </sheetViews>
  <sheetFormatPr defaultColWidth="10.6328125" defaultRowHeight="14.5"/>
  <cols>
    <col min="5" max="5" width="17.36328125" customWidth="1"/>
  </cols>
  <sheetData>
    <row r="3" spans="2:24">
      <c r="B3" s="259" t="s">
        <v>43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8"/>
    </row>
    <row r="4" spans="2:24">
      <c r="B4" s="212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4"/>
    </row>
    <row r="5" spans="2:24" ht="29">
      <c r="B5" s="138" t="s">
        <v>37</v>
      </c>
      <c r="C5" s="139" t="s">
        <v>38</v>
      </c>
      <c r="D5" s="83" t="s">
        <v>25</v>
      </c>
      <c r="E5" s="140" t="s">
        <v>104</v>
      </c>
      <c r="F5" s="141">
        <v>0</v>
      </c>
      <c r="G5" s="141">
        <v>5</v>
      </c>
      <c r="H5" s="141">
        <v>10</v>
      </c>
      <c r="I5" s="141">
        <v>15</v>
      </c>
      <c r="J5" s="141">
        <v>20</v>
      </c>
      <c r="K5" s="141">
        <v>25</v>
      </c>
      <c r="L5" s="141">
        <v>30</v>
      </c>
      <c r="M5" s="141">
        <v>35</v>
      </c>
      <c r="N5" s="141">
        <v>40</v>
      </c>
      <c r="O5" s="141">
        <v>45</v>
      </c>
      <c r="P5" s="141">
        <v>50</v>
      </c>
      <c r="Q5" s="141">
        <v>55</v>
      </c>
      <c r="R5" s="141">
        <v>60</v>
      </c>
      <c r="S5" s="141">
        <v>65</v>
      </c>
      <c r="T5" s="141">
        <v>70</v>
      </c>
      <c r="U5" s="141">
        <v>75</v>
      </c>
      <c r="V5" s="141">
        <v>80</v>
      </c>
      <c r="W5" s="141">
        <v>85</v>
      </c>
      <c r="X5" s="152">
        <v>90</v>
      </c>
    </row>
    <row r="6" spans="2:24">
      <c r="B6" s="71" t="str">
        <f>'Sample ID'!D6</f>
        <v>A 1-6</v>
      </c>
      <c r="C6" s="135">
        <f>'Sample ID'!E6</f>
        <v>484</v>
      </c>
      <c r="D6" s="135">
        <f>'Sample ID'!F6</f>
        <v>1</v>
      </c>
      <c r="E6" s="135" t="s">
        <v>128</v>
      </c>
      <c r="F6" s="41">
        <f>Results!AO14</f>
        <v>0</v>
      </c>
      <c r="G6" s="41">
        <f>Results!AO32</f>
        <v>3.1884435190005014E-3</v>
      </c>
      <c r="H6" s="41">
        <f>Results!AO50</f>
        <v>1.1387298282144725E-3</v>
      </c>
      <c r="I6" s="41">
        <f>Results!AO68</f>
        <v>1.0628145063335103E-3</v>
      </c>
      <c r="J6" s="41">
        <f>Results!AO86</f>
        <v>1.545419052576787E-3</v>
      </c>
      <c r="K6" s="41">
        <f>Results!AO104</f>
        <v>1.5486725663716842E-3</v>
      </c>
      <c r="L6" s="41">
        <f>Results!AO122</f>
        <v>1.4640812077043226E-3</v>
      </c>
      <c r="M6" s="41">
        <f>Results!AO140</f>
        <v>1.4222503160556254E-3</v>
      </c>
      <c r="N6" s="41">
        <f>Results!AO158</f>
        <v>1.098060905778242E-3</v>
      </c>
      <c r="O6" s="41">
        <f>Results!AO176</f>
        <v>1.0628145063335088E-3</v>
      </c>
      <c r="P6" s="15">
        <f>Results!AO194</f>
        <v>1.0085892764185337E-3</v>
      </c>
      <c r="Q6" s="15">
        <f>Results!AO212</f>
        <v>1.0647863328758723E-3</v>
      </c>
      <c r="R6" s="15">
        <f>Results!AO230</f>
        <v>9.5978656949505432E-4</v>
      </c>
      <c r="S6" s="15">
        <f>Results!AO248</f>
        <v>9.3601089176310621E-4</v>
      </c>
      <c r="T6" s="15">
        <f>Results!AO266</f>
        <v>8.8774447832230265E-4</v>
      </c>
      <c r="U6" s="15" t="str">
        <f>Results!AO284</f>
        <v/>
      </c>
      <c r="V6" s="15" t="str">
        <f>Results!AO302</f>
        <v/>
      </c>
      <c r="W6" s="15" t="str">
        <f>Results!AO320</f>
        <v/>
      </c>
      <c r="X6" s="15" t="str">
        <f>Results!AO338</f>
        <v/>
      </c>
    </row>
    <row r="7" spans="2:24">
      <c r="B7" s="72" t="str">
        <f>'Sample ID'!D7</f>
        <v>B 1-6</v>
      </c>
      <c r="C7" s="79">
        <f>'Sample ID'!E7</f>
        <v>548</v>
      </c>
      <c r="D7" s="79">
        <f>'Sample ID'!F7</f>
        <v>1</v>
      </c>
      <c r="E7" s="79" t="s">
        <v>129</v>
      </c>
      <c r="F7" s="41">
        <f>Results!AO15</f>
        <v>0</v>
      </c>
      <c r="G7" s="41">
        <f>Results!AO33</f>
        <v>-3.1884435190005314E-3</v>
      </c>
      <c r="H7" s="41">
        <f>Results!AO51</f>
        <v>-3.0583029672045809E-3</v>
      </c>
      <c r="I7" s="41">
        <f>Results!AO69</f>
        <v>-2.2123893805309782E-3</v>
      </c>
      <c r="J7" s="41">
        <f>Results!AO87</f>
        <v>-1.4315460697553407E-3</v>
      </c>
      <c r="K7" s="41">
        <f>Results!AO105</f>
        <v>-9.7605413846954656E-4</v>
      </c>
      <c r="L7" s="41">
        <f>Results!AO123</f>
        <v>-1.0194343224015296E-3</v>
      </c>
      <c r="M7" s="41">
        <f>Results!AO141</f>
        <v>-1.171264966163458E-3</v>
      </c>
      <c r="N7" s="41">
        <f>Results!AO159</f>
        <v>-1.1387298282144723E-3</v>
      </c>
      <c r="O7" s="41">
        <f>Results!AO177</f>
        <v>-1.2941754873040643E-3</v>
      </c>
      <c r="P7" s="15">
        <f>Results!AO195</f>
        <v>-1.1192087454450809E-3</v>
      </c>
      <c r="Q7" s="15">
        <f>Results!AO213</f>
        <v>-9.2281482182575121E-4</v>
      </c>
      <c r="R7" s="15">
        <f>Results!AO231</f>
        <v>-8.9471629359708527E-4</v>
      </c>
      <c r="S7" s="15">
        <f>Results!AO249</f>
        <v>-7.9585952829055345E-4</v>
      </c>
      <c r="T7" s="15">
        <f>Results!AO267</f>
        <v>-7.3901241912694251E-4</v>
      </c>
      <c r="U7" s="15" t="str">
        <f>Results!AO285</f>
        <v/>
      </c>
      <c r="V7" s="15" t="str">
        <f>Results!AO303</f>
        <v/>
      </c>
      <c r="W7" s="15" t="str">
        <f>Results!AO321</f>
        <v/>
      </c>
      <c r="X7" s="15" t="str">
        <f>Results!AO339</f>
        <v/>
      </c>
    </row>
    <row r="8" spans="2:24">
      <c r="B8" s="72" t="str">
        <f>'Sample ID'!D8</f>
        <v>C1-6</v>
      </c>
      <c r="C8" s="79">
        <f>'Sample ID'!E8</f>
        <v>716</v>
      </c>
      <c r="D8" s="79">
        <f>'Sample ID'!F8</f>
        <v>1</v>
      </c>
      <c r="E8" s="79" t="s">
        <v>130</v>
      </c>
      <c r="F8" s="41">
        <f>Results!AO16</f>
        <v>0</v>
      </c>
      <c r="G8" s="41">
        <f>Results!AO34</f>
        <v>-1.9521082769391465E-4</v>
      </c>
      <c r="H8" s="41">
        <f>Results!AO52</f>
        <v>-1.3014055179593864E-3</v>
      </c>
      <c r="I8" s="41">
        <f>Results!AO70</f>
        <v>-1.0845045982994814E-3</v>
      </c>
      <c r="J8" s="41">
        <f>Results!AO88</f>
        <v>-7.3204060385215761E-4</v>
      </c>
      <c r="K8" s="41">
        <f>Results!AO106</f>
        <v>-5.2056220718375455E-4</v>
      </c>
      <c r="L8" s="41">
        <f>Results!AO124</f>
        <v>-3.9042165538781445E-4</v>
      </c>
      <c r="M8" s="41">
        <f>Results!AO142</f>
        <v>-1.3014055179593883E-4</v>
      </c>
      <c r="N8" s="41">
        <f>Results!AO160</f>
        <v>4.8802706923480519E-5</v>
      </c>
      <c r="O8" s="41">
        <f>Results!AO178</f>
        <v>5.7840245242641362E-5</v>
      </c>
      <c r="P8" s="15">
        <f>Results!AO196</f>
        <v>1.626756897449259E-4</v>
      </c>
      <c r="Q8" s="15">
        <f>Results!AO214</f>
        <v>2.1295726657517559E-4</v>
      </c>
      <c r="R8" s="15">
        <f>Results!AO232</f>
        <v>5.9647752906471435E-5</v>
      </c>
      <c r="S8" s="15">
        <f>Results!AO250</f>
        <v>5.0054058383055035E-5</v>
      </c>
      <c r="T8" s="15">
        <f>Results!AO268</f>
        <v>-1.022532906968082E-4</v>
      </c>
      <c r="U8" s="15" t="str">
        <f>Results!AO286</f>
        <v/>
      </c>
      <c r="V8" s="15" t="str">
        <f>Results!AO304</f>
        <v/>
      </c>
      <c r="W8" s="15" t="str">
        <f>Results!AO322</f>
        <v/>
      </c>
      <c r="X8" s="15" t="str">
        <f>Results!AO340</f>
        <v/>
      </c>
    </row>
    <row r="9" spans="2:24">
      <c r="B9" s="72" t="str">
        <f>'Sample ID'!D9</f>
        <v>D 1-6</v>
      </c>
      <c r="C9" s="79">
        <f>'Sample ID'!E9</f>
        <v>824</v>
      </c>
      <c r="D9" s="79">
        <f>'Sample ID'!F9</f>
        <v>1</v>
      </c>
      <c r="E9" s="79" t="s">
        <v>131</v>
      </c>
      <c r="F9" s="41">
        <f>Results!AO17</f>
        <v>0</v>
      </c>
      <c r="G9" s="41">
        <f>Results!AO35</f>
        <v>-2.0171785528370598E-2</v>
      </c>
      <c r="H9" s="41">
        <f>Results!AO53</f>
        <v>-1.5193909422175958E-2</v>
      </c>
      <c r="I9" s="41">
        <f>Results!AO71</f>
        <v>-1.234166232864828E-2</v>
      </c>
      <c r="J9" s="41">
        <f>Results!AO89</f>
        <v>-9.3863872982821468E-3</v>
      </c>
      <c r="K9" s="41">
        <f>Results!AO107</f>
        <v>-7.4830817282665225E-3</v>
      </c>
      <c r="L9" s="41">
        <f>Results!AO125</f>
        <v>-6.3335068540690638E-3</v>
      </c>
      <c r="M9" s="41">
        <f>Results!AO143</f>
        <v>-5.9213951067152498E-3</v>
      </c>
      <c r="N9" s="41">
        <f>Results!AO161</f>
        <v>-5.1812207183758426E-3</v>
      </c>
      <c r="O9" s="41">
        <f>Results!AO179</f>
        <v>-4.7067499566198134E-3</v>
      </c>
      <c r="P9" s="15">
        <f>Results!AO197</f>
        <v>-4.275117126496618E-3</v>
      </c>
      <c r="Q9" s="15">
        <f>Results!AO215</f>
        <v>-3.8628081964885669E-3</v>
      </c>
      <c r="R9" s="15">
        <f>Results!AO233</f>
        <v>-3.5680201284053448E-3</v>
      </c>
      <c r="S9" s="15">
        <f>Results!AO251</f>
        <v>-3.2585192007367962E-3</v>
      </c>
      <c r="T9" s="15">
        <f>Results!AO269</f>
        <v>-3.0815423514538552E-3</v>
      </c>
      <c r="U9" s="15" t="str">
        <f>Results!AO287</f>
        <v/>
      </c>
      <c r="V9" s="15" t="str">
        <f>Results!AO305</f>
        <v/>
      </c>
      <c r="W9" s="15" t="str">
        <f>Results!AO323</f>
        <v/>
      </c>
      <c r="X9" s="15" t="str">
        <f>Results!AO341</f>
        <v/>
      </c>
    </row>
    <row r="10" spans="2:24">
      <c r="B10" s="72" t="str">
        <f>'Sample ID'!D10</f>
        <v>E 1-6</v>
      </c>
      <c r="C10" s="79">
        <f>'Sample ID'!E10</f>
        <v>437</v>
      </c>
      <c r="D10" s="79">
        <f>'Sample ID'!F10</f>
        <v>1</v>
      </c>
      <c r="E10" s="79" t="str">
        <f t="shared" ref="E7:E21" si="0" xml:space="preserve"> C10 &amp; " - DF " &amp; D10</f>
        <v>437 - DF 1</v>
      </c>
      <c r="F10" s="41">
        <f>Results!AO18</f>
        <v>0</v>
      </c>
      <c r="G10" s="41">
        <f>Results!AO36</f>
        <v>-1.1517438833940623E-2</v>
      </c>
      <c r="H10" s="41">
        <f>Results!AO54</f>
        <v>-8.1988547631441696E-3</v>
      </c>
      <c r="I10" s="41">
        <f>Results!AO72</f>
        <v>-6.6371681415929203E-3</v>
      </c>
      <c r="J10" s="41">
        <f>Results!AO90</f>
        <v>-4.7013274336283111E-3</v>
      </c>
      <c r="K10" s="41">
        <f>Results!AO108</f>
        <v>-3.8912024986985858E-3</v>
      </c>
      <c r="L10" s="41">
        <f>Results!AO126</f>
        <v>-3.1233732431025472E-3</v>
      </c>
      <c r="M10" s="41">
        <f>Results!AO144</f>
        <v>-2.9002751543095039E-3</v>
      </c>
      <c r="N10" s="41">
        <f>Results!AO162</f>
        <v>-2.4970718375845915E-3</v>
      </c>
      <c r="O10" s="41">
        <f>Results!AO180</f>
        <v>-2.1690091965989888E-3</v>
      </c>
      <c r="P10" s="15">
        <f>Results!AO198</f>
        <v>-1.6853201457574139E-3</v>
      </c>
      <c r="Q10" s="15">
        <f>Results!AO216</f>
        <v>-1.6090104585679791E-3</v>
      </c>
      <c r="R10" s="15">
        <f>Results!AO234</f>
        <v>-1.3447857018913749E-3</v>
      </c>
      <c r="S10" s="15">
        <f>Results!AO252</f>
        <v>-1.2613622712529526E-3</v>
      </c>
      <c r="T10" s="15">
        <f>Results!AO270</f>
        <v>-1.2502788726109898E-3</v>
      </c>
      <c r="U10" s="15" t="str">
        <f>Results!AO288</f>
        <v/>
      </c>
      <c r="V10" s="15" t="str">
        <f>Results!AO306</f>
        <v/>
      </c>
      <c r="W10" s="15" t="str">
        <f>Results!AO324</f>
        <v/>
      </c>
      <c r="X10" s="15" t="str">
        <f>Results!AO342</f>
        <v/>
      </c>
    </row>
    <row r="11" spans="2:24">
      <c r="B11" s="72" t="str">
        <f>'Sample ID'!D11</f>
        <v>F 1-6</v>
      </c>
      <c r="C11" s="79">
        <f>'Sample ID'!E11</f>
        <v>0</v>
      </c>
      <c r="D11" s="79">
        <f>'Sample ID'!F11</f>
        <v>0</v>
      </c>
      <c r="E11" s="79" t="str">
        <f t="shared" si="0"/>
        <v>0 - DF 0</v>
      </c>
      <c r="F11" s="41">
        <f>Results!AO19</f>
        <v>0</v>
      </c>
      <c r="G11" s="41">
        <f>Results!AO37</f>
        <v>0</v>
      </c>
      <c r="H11" s="41">
        <f>Results!AO55</f>
        <v>0</v>
      </c>
      <c r="I11" s="41">
        <f>Results!AO73</f>
        <v>0</v>
      </c>
      <c r="J11" s="41">
        <f>Results!AO91</f>
        <v>0</v>
      </c>
      <c r="K11" s="41">
        <f>Results!AO109</f>
        <v>0</v>
      </c>
      <c r="L11" s="41">
        <f>Results!AO127</f>
        <v>0</v>
      </c>
      <c r="M11" s="41">
        <f>Results!AO145</f>
        <v>0</v>
      </c>
      <c r="N11" s="41">
        <f>Results!AO163</f>
        <v>0</v>
      </c>
      <c r="O11" s="41">
        <f>Results!AO181</f>
        <v>0</v>
      </c>
      <c r="P11" s="15">
        <f>Results!AO199</f>
        <v>0</v>
      </c>
      <c r="Q11" s="15">
        <f>Results!AO217</f>
        <v>0</v>
      </c>
      <c r="R11" s="15">
        <f>Results!AO235</f>
        <v>0</v>
      </c>
      <c r="S11" s="15">
        <f>Results!AO253</f>
        <v>0</v>
      </c>
      <c r="T11" s="15">
        <f>Results!AO271</f>
        <v>0</v>
      </c>
      <c r="U11" s="15" t="str">
        <f>Results!AO289</f>
        <v/>
      </c>
      <c r="V11" s="15" t="str">
        <f>Results!AO307</f>
        <v/>
      </c>
      <c r="W11" s="15" t="str">
        <f>Results!AO325</f>
        <v/>
      </c>
      <c r="X11" s="15" t="str">
        <f>Results!AO343</f>
        <v/>
      </c>
    </row>
    <row r="12" spans="2:24">
      <c r="B12" s="72" t="str">
        <f>'Sample ID'!D12</f>
        <v>G 1-6</v>
      </c>
      <c r="C12" s="79">
        <f>'Sample ID'!E12</f>
        <v>0</v>
      </c>
      <c r="D12" s="79">
        <f>'Sample ID'!F12</f>
        <v>0</v>
      </c>
      <c r="E12" s="79" t="str">
        <f t="shared" si="0"/>
        <v>0 - DF 0</v>
      </c>
      <c r="F12" s="41">
        <f>Results!AO20</f>
        <v>0</v>
      </c>
      <c r="G12" s="41">
        <f>Results!AO38</f>
        <v>0</v>
      </c>
      <c r="H12" s="41">
        <f>Results!AO56</f>
        <v>0</v>
      </c>
      <c r="I12" s="41">
        <f>Results!AO74</f>
        <v>0</v>
      </c>
      <c r="J12" s="41">
        <f>Results!AO92</f>
        <v>0</v>
      </c>
      <c r="K12" s="41">
        <f>Results!AO110</f>
        <v>0</v>
      </c>
      <c r="L12" s="41">
        <f>Results!AO128</f>
        <v>0</v>
      </c>
      <c r="M12" s="41">
        <f>Results!AO146</f>
        <v>0</v>
      </c>
      <c r="N12" s="41">
        <f>Results!AO164</f>
        <v>0</v>
      </c>
      <c r="O12" s="41">
        <f>Results!AO182</f>
        <v>0</v>
      </c>
      <c r="P12" s="15">
        <f>Results!AO200</f>
        <v>0</v>
      </c>
      <c r="Q12" s="15">
        <f>Results!AO218</f>
        <v>0</v>
      </c>
      <c r="R12" s="15">
        <f>Results!AO236</f>
        <v>0</v>
      </c>
      <c r="S12" s="15">
        <f>Results!AO254</f>
        <v>0</v>
      </c>
      <c r="T12" s="15">
        <f>Results!AO272</f>
        <v>0</v>
      </c>
      <c r="U12" s="15" t="str">
        <f>Results!AO290</f>
        <v/>
      </c>
      <c r="V12" s="15" t="str">
        <f>Results!AO308</f>
        <v/>
      </c>
      <c r="W12" s="15" t="str">
        <f>Results!AO326</f>
        <v/>
      </c>
      <c r="X12" s="15" t="str">
        <f>Results!AO344</f>
        <v/>
      </c>
    </row>
    <row r="13" spans="2:24">
      <c r="B13" s="72" t="str">
        <f>'Sample ID'!D13</f>
        <v>H 1-6</v>
      </c>
      <c r="C13" s="79">
        <f>'Sample ID'!E13</f>
        <v>0</v>
      </c>
      <c r="D13" s="79">
        <f>'Sample ID'!F13</f>
        <v>0</v>
      </c>
      <c r="E13" s="79" t="str">
        <f t="shared" si="0"/>
        <v>0 - DF 0</v>
      </c>
      <c r="F13" s="41">
        <f>Results!AO21</f>
        <v>0</v>
      </c>
      <c r="G13" s="41" t="str">
        <f>Results!AO39</f>
        <v/>
      </c>
      <c r="H13" s="41" t="str">
        <f>Results!AO57</f>
        <v/>
      </c>
      <c r="I13" s="41" t="str">
        <f>Results!AO75</f>
        <v/>
      </c>
      <c r="J13" s="41" t="str">
        <f>Results!AO93</f>
        <v/>
      </c>
      <c r="K13" s="41" t="str">
        <f>Results!AO111</f>
        <v/>
      </c>
      <c r="L13" s="41" t="str">
        <f>Results!AO129</f>
        <v/>
      </c>
      <c r="M13" s="41" t="str">
        <f>Results!AO147</f>
        <v/>
      </c>
      <c r="N13" s="41" t="str">
        <f>Results!AO165</f>
        <v/>
      </c>
      <c r="O13" s="41" t="str">
        <f>Results!AO183</f>
        <v/>
      </c>
      <c r="P13" s="15" t="str">
        <f>Results!AO201</f>
        <v/>
      </c>
      <c r="Q13" s="15" t="str">
        <f>Results!AO219</f>
        <v/>
      </c>
      <c r="R13" s="15" t="str">
        <f>Results!AO237</f>
        <v/>
      </c>
      <c r="S13" s="15" t="str">
        <f>Results!AO255</f>
        <v/>
      </c>
      <c r="T13" s="15" t="str">
        <f>Results!AO273</f>
        <v/>
      </c>
      <c r="U13" s="15" t="str">
        <f>Results!AO291</f>
        <v/>
      </c>
      <c r="V13" s="15" t="str">
        <f>Results!AO309</f>
        <v/>
      </c>
      <c r="W13" s="15" t="str">
        <f>Results!AO327</f>
        <v/>
      </c>
      <c r="X13" s="15" t="str">
        <f>Results!AO345</f>
        <v/>
      </c>
    </row>
    <row r="14" spans="2:24">
      <c r="B14" s="71" t="str">
        <f>'Sample ID'!D14</f>
        <v>A 7-12</v>
      </c>
      <c r="C14" s="135">
        <f>'Sample ID'!E14</f>
        <v>0</v>
      </c>
      <c r="D14" s="135">
        <f>'Sample ID'!F14</f>
        <v>0</v>
      </c>
      <c r="E14" s="135" t="str">
        <f t="shared" si="0"/>
        <v>0 - DF 0</v>
      </c>
      <c r="F14" s="41">
        <f>Results!AO23</f>
        <v>0</v>
      </c>
      <c r="G14" s="41" t="str">
        <f>Results!AO41</f>
        <v/>
      </c>
      <c r="H14" s="41" t="str">
        <f>Results!AO59</f>
        <v/>
      </c>
      <c r="I14" s="41" t="str">
        <f>Results!AO77</f>
        <v/>
      </c>
      <c r="J14" s="41" t="str">
        <f>Results!AO95</f>
        <v/>
      </c>
      <c r="K14" s="41" t="str">
        <f>Results!AO113</f>
        <v/>
      </c>
      <c r="L14" s="41" t="str">
        <f>Results!AO131</f>
        <v/>
      </c>
      <c r="M14" s="41" t="str">
        <f>Results!AO149</f>
        <v/>
      </c>
      <c r="N14" s="41" t="str">
        <f>Results!AO167</f>
        <v/>
      </c>
      <c r="O14" s="41" t="str">
        <f>Results!AO185</f>
        <v/>
      </c>
      <c r="P14" s="15" t="str">
        <f>Results!AO203</f>
        <v/>
      </c>
      <c r="Q14" s="15" t="str">
        <f>Results!AO221</f>
        <v/>
      </c>
      <c r="R14" s="15" t="str">
        <f>Results!AO239</f>
        <v/>
      </c>
      <c r="S14" s="15" t="str">
        <f>Results!AO257</f>
        <v/>
      </c>
      <c r="T14" s="15" t="str">
        <f>Results!AO275</f>
        <v/>
      </c>
      <c r="U14" s="15" t="str">
        <f>Results!AO293</f>
        <v/>
      </c>
      <c r="V14" s="15" t="str">
        <f>Results!AO311</f>
        <v/>
      </c>
      <c r="W14" s="15" t="str">
        <f>Results!AO329</f>
        <v/>
      </c>
      <c r="X14" s="16" t="str">
        <f>Results!AO347</f>
        <v/>
      </c>
    </row>
    <row r="15" spans="2:24">
      <c r="B15" s="72" t="str">
        <f>'Sample ID'!D15</f>
        <v>B 7-12</v>
      </c>
      <c r="C15" s="79">
        <f>'Sample ID'!E15</f>
        <v>0</v>
      </c>
      <c r="D15" s="79">
        <f>'Sample ID'!F15</f>
        <v>0</v>
      </c>
      <c r="E15" s="79" t="str">
        <f t="shared" si="0"/>
        <v>0 - DF 0</v>
      </c>
      <c r="F15" s="41">
        <f>Results!AO24</f>
        <v>0</v>
      </c>
      <c r="G15" s="41" t="str">
        <f>Results!AO42</f>
        <v/>
      </c>
      <c r="H15" s="41" t="str">
        <f>Results!AO60</f>
        <v/>
      </c>
      <c r="I15" s="41" t="str">
        <f>Results!AO78</f>
        <v/>
      </c>
      <c r="J15" s="41" t="str">
        <f>Results!AO96</f>
        <v/>
      </c>
      <c r="K15" s="41" t="str">
        <f>Results!AO114</f>
        <v/>
      </c>
      <c r="L15" s="41" t="str">
        <f>Results!AO132</f>
        <v/>
      </c>
      <c r="M15" s="41" t="str">
        <f>Results!AO150</f>
        <v/>
      </c>
      <c r="N15" s="41" t="str">
        <f>Results!AO168</f>
        <v/>
      </c>
      <c r="O15" s="41" t="str">
        <f>Results!AO186</f>
        <v/>
      </c>
      <c r="P15" s="15" t="str">
        <f>Results!AO204</f>
        <v/>
      </c>
      <c r="Q15" s="15" t="str">
        <f>Results!AO222</f>
        <v/>
      </c>
      <c r="R15" s="15" t="str">
        <f>Results!AO240</f>
        <v/>
      </c>
      <c r="S15" s="15" t="str">
        <f>Results!AO258</f>
        <v/>
      </c>
      <c r="T15" s="15" t="str">
        <f>Results!AO276</f>
        <v/>
      </c>
      <c r="U15" s="15" t="str">
        <f>Results!AO294</f>
        <v/>
      </c>
      <c r="V15" s="15" t="str">
        <f>Results!AO312</f>
        <v/>
      </c>
      <c r="W15" s="15" t="str">
        <f>Results!AO330</f>
        <v/>
      </c>
      <c r="X15" s="16" t="str">
        <f>Results!AO348</f>
        <v/>
      </c>
    </row>
    <row r="16" spans="2:24">
      <c r="B16" s="72" t="str">
        <f>'Sample ID'!D16</f>
        <v>C7-12</v>
      </c>
      <c r="C16" s="79">
        <f>'Sample ID'!E16</f>
        <v>0</v>
      </c>
      <c r="D16" s="79">
        <f>'Sample ID'!F16</f>
        <v>0</v>
      </c>
      <c r="E16" s="79" t="str">
        <f t="shared" si="0"/>
        <v>0 - DF 0</v>
      </c>
      <c r="F16" s="41">
        <f>Results!AO25</f>
        <v>0</v>
      </c>
      <c r="G16" s="41" t="str">
        <f>Results!AO43</f>
        <v/>
      </c>
      <c r="H16" s="41" t="str">
        <f>Results!AO61</f>
        <v/>
      </c>
      <c r="I16" s="41" t="str">
        <f>Results!AO79</f>
        <v/>
      </c>
      <c r="J16" s="41" t="str">
        <f>Results!AO97</f>
        <v/>
      </c>
      <c r="K16" s="41" t="str">
        <f>Results!AO115</f>
        <v/>
      </c>
      <c r="L16" s="41" t="str">
        <f>Results!AO133</f>
        <v/>
      </c>
      <c r="M16" s="41" t="str">
        <f>Results!AO151</f>
        <v/>
      </c>
      <c r="N16" s="41" t="str">
        <f>Results!AO169</f>
        <v/>
      </c>
      <c r="O16" s="41" t="str">
        <f>Results!AO187</f>
        <v/>
      </c>
      <c r="P16" s="15" t="str">
        <f>Results!AO205</f>
        <v/>
      </c>
      <c r="Q16" s="15" t="str">
        <f>Results!AO223</f>
        <v/>
      </c>
      <c r="R16" s="15" t="str">
        <f>Results!AO241</f>
        <v/>
      </c>
      <c r="S16" s="15" t="str">
        <f>Results!AO259</f>
        <v/>
      </c>
      <c r="T16" s="15" t="str">
        <f>Results!AO277</f>
        <v/>
      </c>
      <c r="U16" s="15" t="str">
        <f>Results!AO295</f>
        <v/>
      </c>
      <c r="V16" s="15" t="str">
        <f>Results!AO313</f>
        <v/>
      </c>
      <c r="W16" s="15" t="str">
        <f>Results!AO331</f>
        <v/>
      </c>
      <c r="X16" s="16" t="str">
        <f>Results!AO349</f>
        <v/>
      </c>
    </row>
    <row r="17" spans="2:24">
      <c r="B17" s="72" t="str">
        <f>'Sample ID'!D17</f>
        <v>D 7-12</v>
      </c>
      <c r="C17" s="79">
        <f>'Sample ID'!E17</f>
        <v>0</v>
      </c>
      <c r="D17" s="79">
        <f>'Sample ID'!F17</f>
        <v>0</v>
      </c>
      <c r="E17" s="79" t="str">
        <f t="shared" si="0"/>
        <v>0 - DF 0</v>
      </c>
      <c r="F17" s="41">
        <f>Results!AO26</f>
        <v>0</v>
      </c>
      <c r="G17" s="41" t="str">
        <f>Results!AO44</f>
        <v/>
      </c>
      <c r="H17" s="41" t="str">
        <f>Results!AO62</f>
        <v/>
      </c>
      <c r="I17" s="41" t="str">
        <f>Results!AO80</f>
        <v/>
      </c>
      <c r="J17" s="41" t="str">
        <f>Results!AO98</f>
        <v/>
      </c>
      <c r="K17" s="41" t="str">
        <f>Results!AO116</f>
        <v/>
      </c>
      <c r="L17" s="41" t="str">
        <f>Results!AO134</f>
        <v/>
      </c>
      <c r="M17" s="41" t="str">
        <f>Results!AO152</f>
        <v/>
      </c>
      <c r="N17" s="41" t="str">
        <f>Results!AO170</f>
        <v/>
      </c>
      <c r="O17" s="41" t="str">
        <f>Results!AO188</f>
        <v/>
      </c>
      <c r="P17" s="15" t="str">
        <f>Results!AO206</f>
        <v/>
      </c>
      <c r="Q17" s="15" t="str">
        <f>Results!AO224</f>
        <v/>
      </c>
      <c r="R17" s="15" t="str">
        <f>Results!AO242</f>
        <v/>
      </c>
      <c r="S17" s="15" t="str">
        <f>Results!AO260</f>
        <v/>
      </c>
      <c r="T17" s="15" t="str">
        <f>Results!AO278</f>
        <v/>
      </c>
      <c r="U17" s="15" t="str">
        <f>Results!AO296</f>
        <v/>
      </c>
      <c r="V17" s="15" t="str">
        <f>Results!AO314</f>
        <v/>
      </c>
      <c r="W17" s="15" t="str">
        <f>Results!AO332</f>
        <v/>
      </c>
      <c r="X17" s="16" t="str">
        <f>Results!AO350</f>
        <v/>
      </c>
    </row>
    <row r="18" spans="2:24">
      <c r="B18" s="72" t="str">
        <f>'Sample ID'!D18</f>
        <v>E 7-12</v>
      </c>
      <c r="C18" s="79">
        <f>'Sample ID'!E18</f>
        <v>0</v>
      </c>
      <c r="D18" s="79">
        <f>'Sample ID'!F18</f>
        <v>0</v>
      </c>
      <c r="E18" s="79" t="str">
        <f t="shared" si="0"/>
        <v>0 - DF 0</v>
      </c>
      <c r="F18" s="41">
        <f>Results!AO27</f>
        <v>0</v>
      </c>
      <c r="G18" s="41" t="str">
        <f>Results!AO45</f>
        <v/>
      </c>
      <c r="H18" s="41" t="str">
        <f>Results!AO63</f>
        <v/>
      </c>
      <c r="I18" s="41" t="str">
        <f>Results!AO81</f>
        <v/>
      </c>
      <c r="J18" s="41" t="str">
        <f>Results!AO99</f>
        <v/>
      </c>
      <c r="K18" s="41" t="str">
        <f>Results!AO117</f>
        <v/>
      </c>
      <c r="L18" s="41" t="str">
        <f>Results!AO135</f>
        <v/>
      </c>
      <c r="M18" s="41" t="str">
        <f>Results!AO153</f>
        <v/>
      </c>
      <c r="N18" s="41" t="str">
        <f>Results!AO171</f>
        <v/>
      </c>
      <c r="O18" s="41" t="str">
        <f>Results!AO189</f>
        <v/>
      </c>
      <c r="P18" s="15" t="str">
        <f>Results!AO207</f>
        <v/>
      </c>
      <c r="Q18" s="15" t="str">
        <f>Results!AO225</f>
        <v/>
      </c>
      <c r="R18" s="15" t="str">
        <f>Results!AO243</f>
        <v/>
      </c>
      <c r="S18" s="15" t="str">
        <f>Results!AO261</f>
        <v/>
      </c>
      <c r="T18" s="15" t="str">
        <f>Results!AO279</f>
        <v/>
      </c>
      <c r="U18" s="15" t="str">
        <f>Results!AO297</f>
        <v/>
      </c>
      <c r="V18" s="15" t="str">
        <f>Results!AO315</f>
        <v/>
      </c>
      <c r="W18" s="15" t="str">
        <f>Results!AO333</f>
        <v/>
      </c>
      <c r="X18" s="16" t="str">
        <f>Results!AO351</f>
        <v/>
      </c>
    </row>
    <row r="19" spans="2:24">
      <c r="B19" s="72" t="str">
        <f>'Sample ID'!D19</f>
        <v>F 7-12</v>
      </c>
      <c r="C19" s="79">
        <f>'Sample ID'!E19</f>
        <v>0</v>
      </c>
      <c r="D19" s="79">
        <f>'Sample ID'!F19</f>
        <v>0</v>
      </c>
      <c r="E19" s="79" t="str">
        <f t="shared" si="0"/>
        <v>0 - DF 0</v>
      </c>
      <c r="F19" s="41">
        <f>Results!AO28</f>
        <v>0</v>
      </c>
      <c r="G19" s="41" t="str">
        <f>Results!AO46</f>
        <v/>
      </c>
      <c r="H19" s="41" t="str">
        <f>Results!AO64</f>
        <v/>
      </c>
      <c r="I19" s="41" t="str">
        <f>Results!AO82</f>
        <v/>
      </c>
      <c r="J19" s="41" t="str">
        <f>Results!AO100</f>
        <v/>
      </c>
      <c r="K19" s="41" t="str">
        <f>Results!AO118</f>
        <v/>
      </c>
      <c r="L19" s="41" t="str">
        <f>Results!AO136</f>
        <v/>
      </c>
      <c r="M19" s="41" t="str">
        <f>Results!AO154</f>
        <v/>
      </c>
      <c r="N19" s="41" t="str">
        <f>Results!AO172</f>
        <v/>
      </c>
      <c r="O19" s="41" t="str">
        <f>Results!AO190</f>
        <v/>
      </c>
      <c r="P19" s="15" t="str">
        <f>Results!AO208</f>
        <v/>
      </c>
      <c r="Q19" s="15" t="str">
        <f>Results!AO226</f>
        <v/>
      </c>
      <c r="R19" s="15" t="str">
        <f>Results!AO244</f>
        <v/>
      </c>
      <c r="S19" s="15" t="str">
        <f>Results!AO262</f>
        <v/>
      </c>
      <c r="T19" s="15" t="str">
        <f>Results!AO280</f>
        <v/>
      </c>
      <c r="U19" s="15" t="str">
        <f>Results!AO298</f>
        <v/>
      </c>
      <c r="V19" s="15" t="str">
        <f>Results!AO316</f>
        <v/>
      </c>
      <c r="W19" s="15" t="str">
        <f>Results!AO334</f>
        <v/>
      </c>
      <c r="X19" s="16" t="str">
        <f>Results!AO352</f>
        <v/>
      </c>
    </row>
    <row r="20" spans="2:24">
      <c r="B20" s="72" t="str">
        <f>'Sample ID'!D20</f>
        <v>G 7-12</v>
      </c>
      <c r="C20" s="79">
        <f>'Sample ID'!E20</f>
        <v>0</v>
      </c>
      <c r="D20" s="79">
        <f>'Sample ID'!F20</f>
        <v>0</v>
      </c>
      <c r="E20" s="79" t="str">
        <f t="shared" si="0"/>
        <v>0 - DF 0</v>
      </c>
      <c r="F20" s="41">
        <f>Results!AO29</f>
        <v>0</v>
      </c>
      <c r="G20" s="41" t="str">
        <f>Results!AO47</f>
        <v/>
      </c>
      <c r="H20" s="41" t="str">
        <f>Results!AO65</f>
        <v/>
      </c>
      <c r="I20" s="41" t="str">
        <f>Results!AO83</f>
        <v/>
      </c>
      <c r="J20" s="41" t="str">
        <f>Results!AO101</f>
        <v/>
      </c>
      <c r="K20" s="41" t="str">
        <f>Results!AO119</f>
        <v/>
      </c>
      <c r="L20" s="41" t="str">
        <f>Results!AO137</f>
        <v/>
      </c>
      <c r="M20" s="41" t="str">
        <f>Results!AO155</f>
        <v/>
      </c>
      <c r="N20" s="41" t="str">
        <f>Results!AO173</f>
        <v/>
      </c>
      <c r="O20" s="41" t="str">
        <f>Results!AO191</f>
        <v/>
      </c>
      <c r="P20" s="15" t="str">
        <f>Results!AO209</f>
        <v/>
      </c>
      <c r="Q20" s="15" t="str">
        <f>Results!AO227</f>
        <v/>
      </c>
      <c r="R20" s="15" t="str">
        <f>Results!AO245</f>
        <v/>
      </c>
      <c r="S20" s="15" t="str">
        <f>Results!AO263</f>
        <v/>
      </c>
      <c r="T20" s="15" t="str">
        <f>Results!AO281</f>
        <v/>
      </c>
      <c r="U20" s="15" t="str">
        <f>Results!AO299</f>
        <v/>
      </c>
      <c r="V20" s="15" t="str">
        <f>Results!AO317</f>
        <v/>
      </c>
      <c r="W20" s="15" t="str">
        <f>Results!AO335</f>
        <v/>
      </c>
      <c r="X20" s="16" t="str">
        <f>Results!AO353</f>
        <v/>
      </c>
    </row>
    <row r="21" spans="2:24">
      <c r="B21" s="60" t="str">
        <f>'Sample ID'!D21</f>
        <v>H 7-12</v>
      </c>
      <c r="C21" s="136">
        <f>'Sample ID'!E21</f>
        <v>0</v>
      </c>
      <c r="D21" s="136">
        <f>'Sample ID'!F21</f>
        <v>0</v>
      </c>
      <c r="E21" s="136" t="str">
        <f t="shared" si="0"/>
        <v>0 - DF 0</v>
      </c>
      <c r="F21" s="41">
        <f>Results!AO30</f>
        <v>0</v>
      </c>
      <c r="G21" s="41" t="str">
        <f>Results!AO48</f>
        <v/>
      </c>
      <c r="H21" s="41" t="str">
        <f>Results!AO66</f>
        <v/>
      </c>
      <c r="I21" s="41" t="str">
        <f>Results!AO84</f>
        <v/>
      </c>
      <c r="J21" s="41" t="str">
        <f>Results!AO102</f>
        <v/>
      </c>
      <c r="K21" s="41" t="str">
        <f>Results!AO120</f>
        <v/>
      </c>
      <c r="L21" s="41" t="str">
        <f>Results!AO138</f>
        <v/>
      </c>
      <c r="M21" s="41" t="str">
        <f>Results!AO156</f>
        <v/>
      </c>
      <c r="N21" s="41" t="str">
        <f>Results!AO174</f>
        <v/>
      </c>
      <c r="O21" s="41" t="str">
        <f>Results!AO192</f>
        <v/>
      </c>
      <c r="P21" s="15" t="str">
        <f>Results!AO210</f>
        <v/>
      </c>
      <c r="Q21" s="15" t="str">
        <f>Results!AO228</f>
        <v/>
      </c>
      <c r="R21" s="15" t="str">
        <f>Results!AO246</f>
        <v/>
      </c>
      <c r="S21" s="15" t="str">
        <f>Results!AO264</f>
        <v/>
      </c>
      <c r="T21" s="15" t="str">
        <f>Results!AO282</f>
        <v/>
      </c>
      <c r="U21" s="15" t="str">
        <f>Results!AO300</f>
        <v/>
      </c>
      <c r="V21" s="15" t="str">
        <f>Results!AO318</f>
        <v/>
      </c>
      <c r="W21" s="15" t="str">
        <f>Results!AO336</f>
        <v/>
      </c>
      <c r="X21" s="16" t="str">
        <f>Results!AO354</f>
        <v/>
      </c>
    </row>
    <row r="23" spans="2:24" ht="29">
      <c r="B23" s="138" t="s">
        <v>37</v>
      </c>
      <c r="C23" s="139" t="s">
        <v>38</v>
      </c>
      <c r="D23" s="83" t="s">
        <v>25</v>
      </c>
      <c r="E23" s="140" t="s">
        <v>104</v>
      </c>
      <c r="F23" s="141">
        <v>0</v>
      </c>
      <c r="G23" s="141">
        <v>5</v>
      </c>
      <c r="H23" s="141">
        <v>10</v>
      </c>
      <c r="I23" s="141">
        <v>15</v>
      </c>
      <c r="J23" s="141">
        <v>20</v>
      </c>
      <c r="K23" s="141">
        <v>25</v>
      </c>
      <c r="L23" s="141">
        <v>30</v>
      </c>
      <c r="M23" s="141">
        <v>35</v>
      </c>
      <c r="N23" s="141">
        <v>40</v>
      </c>
      <c r="O23" s="141">
        <v>45</v>
      </c>
      <c r="P23" s="141">
        <v>50</v>
      </c>
      <c r="Q23" s="141">
        <v>55</v>
      </c>
      <c r="R23" s="141">
        <v>60</v>
      </c>
      <c r="S23" s="141">
        <v>65</v>
      </c>
      <c r="T23" s="141">
        <v>70</v>
      </c>
      <c r="U23" s="141">
        <v>75</v>
      </c>
      <c r="V23" s="141">
        <v>80</v>
      </c>
      <c r="W23" s="141">
        <v>85</v>
      </c>
      <c r="X23" s="152">
        <v>90</v>
      </c>
    </row>
    <row r="24" spans="2:24">
      <c r="B24" s="71" t="str">
        <f>B6</f>
        <v>A 1-6</v>
      </c>
      <c r="C24" s="133">
        <f>C6</f>
        <v>484</v>
      </c>
      <c r="D24" s="135">
        <f t="shared" ref="D24:E39" si="1">D6</f>
        <v>1</v>
      </c>
      <c r="E24" s="153" t="str">
        <f t="shared" si="1"/>
        <v>RKU43484.1</v>
      </c>
      <c r="F24" s="41">
        <f>Results!AP14</f>
        <v>0</v>
      </c>
      <c r="G24" s="41">
        <f>Results!AP32</f>
        <v>8.9598721905562412E-4</v>
      </c>
      <c r="H24" s="41">
        <f>Results!AP50</f>
        <v>2.8063324639312657E-4</v>
      </c>
      <c r="I24" s="41">
        <f>Results!AP68</f>
        <v>8.1550130748358595E-4</v>
      </c>
      <c r="J24" s="41">
        <f>Results!AP86</f>
        <v>3.3905297944073257E-4</v>
      </c>
      <c r="K24" s="41">
        <f>Results!AP104</f>
        <v>3.8306446422665854E-4</v>
      </c>
      <c r="L24" s="41">
        <f>Results!AP122</f>
        <v>2.3819631985584486E-4</v>
      </c>
      <c r="M24" s="41">
        <f>Results!AP140</f>
        <v>3.8399452245241041E-4</v>
      </c>
      <c r="N24" s="41">
        <f>Results!AP158</f>
        <v>1.8647488132362183E-4</v>
      </c>
      <c r="O24" s="41">
        <f>Results!AP176</f>
        <v>2.1603157379817281E-4</v>
      </c>
      <c r="P24" s="15">
        <f>Results!AP194</f>
        <v>2.0683751762711226E-4</v>
      </c>
      <c r="Q24" s="15">
        <f>Results!AP212</f>
        <v>1.5307267985079608E-4</v>
      </c>
      <c r="R24" s="15">
        <f>Results!AP230</f>
        <v>6.3422659713750849E-5</v>
      </c>
      <c r="S24" s="15">
        <f>Results!AP248</f>
        <v>1.5508682762212827E-4</v>
      </c>
      <c r="T24" s="15">
        <f>Results!AP266</f>
        <v>1.3794096676990884E-4</v>
      </c>
      <c r="U24" s="15" t="str">
        <f>Results!AP284</f>
        <v/>
      </c>
      <c r="V24" s="15" t="str">
        <f>Results!AP302</f>
        <v/>
      </c>
      <c r="W24" s="15" t="str">
        <f>Results!AP320</f>
        <v/>
      </c>
      <c r="X24" s="15" t="str">
        <f>Results!AP338</f>
        <v/>
      </c>
    </row>
    <row r="25" spans="2:24">
      <c r="B25" s="72" t="str">
        <f t="shared" ref="B25:C39" si="2">B7</f>
        <v>B 1-6</v>
      </c>
      <c r="C25" s="86">
        <f>C7</f>
        <v>548</v>
      </c>
      <c r="D25" s="79">
        <f t="shared" si="1"/>
        <v>1</v>
      </c>
      <c r="E25" s="154" t="str">
        <f t="shared" si="1"/>
        <v>RKU40548.1</v>
      </c>
      <c r="F25" s="41">
        <f>Results!AP15</f>
        <v>0</v>
      </c>
      <c r="G25" s="41">
        <f>Results!AP33</f>
        <v>1.2263632472035255E-3</v>
      </c>
      <c r="H25" s="41">
        <f>Results!AP51</f>
        <v>7.9214876593094172E-4</v>
      </c>
      <c r="I25" s="41">
        <f>Results!AP69</f>
        <v>3.540205754486001E-4</v>
      </c>
      <c r="J25" s="41">
        <f>Results!AP87</f>
        <v>2.2399680476391156E-4</v>
      </c>
      <c r="K25" s="41">
        <f>Results!AP105</f>
        <v>1.5221438331300193E-4</v>
      </c>
      <c r="L25" s="41">
        <f>Results!AP123</f>
        <v>1.893384768592346E-4</v>
      </c>
      <c r="M25" s="41">
        <f>Results!AP141</f>
        <v>1.7460187226703343E-4</v>
      </c>
      <c r="N25" s="41">
        <f>Results!AP159</f>
        <v>1.4200385764442117E-4</v>
      </c>
      <c r="O25" s="41">
        <f>Results!AP177</f>
        <v>2.5020502774434229E-4</v>
      </c>
      <c r="P25" s="15">
        <f>Results!AP195</f>
        <v>9.6163212919892188E-5</v>
      </c>
      <c r="Q25" s="15">
        <f>Results!AP213</f>
        <v>2.0265158899655155E-4</v>
      </c>
      <c r="R25" s="15">
        <f>Results!AP231</f>
        <v>2.7181934635873837E-4</v>
      </c>
      <c r="S25" s="15">
        <f>Results!AP249</f>
        <v>2.2191510673821369E-4</v>
      </c>
      <c r="T25" s="15">
        <f>Results!AP267</f>
        <v>1.1224406074309074E-4</v>
      </c>
      <c r="U25" s="15" t="str">
        <f>Results!AP285</f>
        <v/>
      </c>
      <c r="V25" s="15" t="str">
        <f>Results!AP303</f>
        <v/>
      </c>
      <c r="W25" s="15" t="str">
        <f>Results!AP321</f>
        <v/>
      </c>
      <c r="X25" s="15" t="str">
        <f>Results!AP339</f>
        <v/>
      </c>
    </row>
    <row r="26" spans="2:24">
      <c r="B26" s="72" t="str">
        <f t="shared" si="2"/>
        <v>C1-6</v>
      </c>
      <c r="C26" s="86">
        <f t="shared" si="2"/>
        <v>716</v>
      </c>
      <c r="D26" s="79">
        <f t="shared" si="1"/>
        <v>1</v>
      </c>
      <c r="E26" s="154" t="str">
        <f t="shared" si="1"/>
        <v>RKU46716.1</v>
      </c>
      <c r="F26" s="41">
        <f>Results!AP16</f>
        <v>0</v>
      </c>
      <c r="G26" s="41">
        <f>Results!AP34</f>
        <v>1.3636842162862851E-3</v>
      </c>
      <c r="H26" s="41">
        <f>Results!AP52</f>
        <v>1.0230736078622291E-3</v>
      </c>
      <c r="I26" s="41">
        <f>Results!AP70</f>
        <v>3.7867695371846286E-4</v>
      </c>
      <c r="J26" s="41">
        <f>Results!AP88</f>
        <v>3.8797384658417159E-4</v>
      </c>
      <c r="K26" s="41">
        <f>Results!AP106</f>
        <v>5.7627435449801644E-4</v>
      </c>
      <c r="L26" s="41">
        <f>Results!AP124</f>
        <v>3.8164701453970368E-4</v>
      </c>
      <c r="M26" s="41">
        <f>Results!AP142</f>
        <v>5.5345265688271604E-4</v>
      </c>
      <c r="N26" s="41">
        <f>Results!AP160</f>
        <v>4.5415370083804916E-4</v>
      </c>
      <c r="O26" s="41">
        <f>Results!AP178</f>
        <v>3.0817237070457289E-4</v>
      </c>
      <c r="P26" s="15">
        <f>Results!AP196</f>
        <v>1.4538511237656532E-4</v>
      </c>
      <c r="Q26" s="15">
        <f>Results!AP214</f>
        <v>2.0817109883983697E-4</v>
      </c>
      <c r="R26" s="15">
        <f>Results!AP232</f>
        <v>1.9321233941256981E-4</v>
      </c>
      <c r="S26" s="15">
        <f>Results!AP250</f>
        <v>1.485518103675925E-4</v>
      </c>
      <c r="T26" s="15">
        <f>Results!AP268</f>
        <v>1.9091405223687607E-4</v>
      </c>
      <c r="U26" s="15" t="str">
        <f>Results!AP286</f>
        <v/>
      </c>
      <c r="V26" s="15" t="str">
        <f>Results!AP304</f>
        <v/>
      </c>
      <c r="W26" s="15" t="str">
        <f>Results!AP322</f>
        <v/>
      </c>
      <c r="X26" s="15" t="str">
        <f>Results!AP340</f>
        <v/>
      </c>
    </row>
    <row r="27" spans="2:24">
      <c r="B27" s="72" t="str">
        <f t="shared" si="2"/>
        <v>D 1-6</v>
      </c>
      <c r="C27" s="86">
        <f t="shared" si="2"/>
        <v>824</v>
      </c>
      <c r="D27" s="79">
        <f t="shared" si="1"/>
        <v>1</v>
      </c>
      <c r="E27" s="154" t="str">
        <f t="shared" si="1"/>
        <v>RKU40824.1</v>
      </c>
      <c r="F27" s="41">
        <f>Results!AP17</f>
        <v>0</v>
      </c>
      <c r="G27" s="41">
        <f>Results!AP35</f>
        <v>2.0161287590877161E-4</v>
      </c>
      <c r="H27" s="41">
        <f>Results!AP53</f>
        <v>1.1625565556547062E-3</v>
      </c>
      <c r="I27" s="41">
        <f>Results!AP71</f>
        <v>4.9499051971529017E-4</v>
      </c>
      <c r="J27" s="41">
        <f>Results!AP89</f>
        <v>2.5576840196555369E-4</v>
      </c>
      <c r="K27" s="41">
        <f>Results!AP107</f>
        <v>1.2263632472034189E-4</v>
      </c>
      <c r="L27" s="41">
        <f>Results!AP125</f>
        <v>3.111602262784871E-4</v>
      </c>
      <c r="M27" s="41">
        <f>Results!AP143</f>
        <v>2.6436574400019535E-4</v>
      </c>
      <c r="N27" s="41">
        <f>Results!AP161</f>
        <v>2.0279076057063498E-4</v>
      </c>
      <c r="O27" s="41">
        <f>Results!AP179</f>
        <v>8.8902921793854812E-5</v>
      </c>
      <c r="P27" s="15">
        <f>Results!AP197</f>
        <v>1.2096772554525447E-4</v>
      </c>
      <c r="Q27" s="15">
        <f>Results!AP215</f>
        <v>5.5743783963793972E-5</v>
      </c>
      <c r="R27" s="15">
        <f>Results!AP233</f>
        <v>9.687971297123143E-5</v>
      </c>
      <c r="S27" s="15">
        <f>Results!AP251</f>
        <v>1.2309635325302595E-4</v>
      </c>
      <c r="T27" s="15">
        <f>Results!AP269</f>
        <v>1.065570750420668E-4</v>
      </c>
      <c r="U27" s="15" t="str">
        <f>Results!AP287</f>
        <v/>
      </c>
      <c r="V27" s="15" t="str">
        <f>Results!AP305</f>
        <v/>
      </c>
      <c r="W27" s="15" t="str">
        <f>Results!AP323</f>
        <v/>
      </c>
      <c r="X27" s="15" t="str">
        <f>Results!AP341</f>
        <v/>
      </c>
    </row>
    <row r="28" spans="2:24">
      <c r="B28" s="72" t="str">
        <f t="shared" si="2"/>
        <v>E 1-6</v>
      </c>
      <c r="C28" s="86">
        <f t="shared" si="2"/>
        <v>437</v>
      </c>
      <c r="D28" s="79">
        <f t="shared" si="1"/>
        <v>1</v>
      </c>
      <c r="E28" s="154" t="str">
        <f t="shared" si="1"/>
        <v>437 - DF 1</v>
      </c>
      <c r="F28" s="41">
        <f>Results!AP18</f>
        <v>0</v>
      </c>
      <c r="G28" s="41">
        <f>Results!AP36</f>
        <v>3.2005051845786993E-3</v>
      </c>
      <c r="H28" s="41">
        <f>Results!AP54</f>
        <v>7.6107191656499111E-4</v>
      </c>
      <c r="I28" s="41">
        <f>Results!AP72</f>
        <v>7.5660811315713642E-4</v>
      </c>
      <c r="J28" s="41">
        <f>Results!AP90</f>
        <v>7.2034294312252561E-4</v>
      </c>
      <c r="K28" s="41">
        <f>Results!AP108</f>
        <v>6.0718622202014317E-4</v>
      </c>
      <c r="L28" s="41">
        <f>Results!AP126</f>
        <v>5.724705218095481E-4</v>
      </c>
      <c r="M28" s="41">
        <f>Results!AP144</f>
        <v>5.4704543029252266E-4</v>
      </c>
      <c r="N28" s="41">
        <f>Results!AP162</f>
        <v>5.2622505515761823E-4</v>
      </c>
      <c r="O28" s="41">
        <f>Results!AP180</f>
        <v>5.2488229957502002E-4</v>
      </c>
      <c r="P28" s="15">
        <f>Results!AP198</f>
        <v>6.7630527601566614E-4</v>
      </c>
      <c r="Q28" s="15">
        <f>Results!AP216</f>
        <v>6.3040253635641876E-4</v>
      </c>
      <c r="R28" s="15">
        <f>Results!AP234</f>
        <v>5.831569906038067E-4</v>
      </c>
      <c r="S28" s="15">
        <f>Results!AP252</f>
        <v>6.9361272468732222E-4</v>
      </c>
      <c r="T28" s="15">
        <f>Results!AP270</f>
        <v>7.1429868273639881E-4</v>
      </c>
      <c r="U28" s="15" t="str">
        <f>Results!AP288</f>
        <v/>
      </c>
      <c r="V28" s="15" t="str">
        <f>Results!AP306</f>
        <v/>
      </c>
      <c r="W28" s="15" t="str">
        <f>Results!AP324</f>
        <v/>
      </c>
      <c r="X28" s="15" t="str">
        <f>Results!AP342</f>
        <v/>
      </c>
    </row>
    <row r="29" spans="2:24">
      <c r="B29" s="72" t="str">
        <f t="shared" si="2"/>
        <v>F 1-6</v>
      </c>
      <c r="C29" s="86">
        <f t="shared" si="2"/>
        <v>0</v>
      </c>
      <c r="D29" s="79">
        <f t="shared" si="1"/>
        <v>0</v>
      </c>
      <c r="E29" s="154" t="str">
        <f t="shared" si="1"/>
        <v>0 - DF 0</v>
      </c>
      <c r="F29" s="41">
        <f>Results!AP19</f>
        <v>0</v>
      </c>
      <c r="G29" s="41">
        <f>Results!AP37</f>
        <v>0</v>
      </c>
      <c r="H29" s="41">
        <f>Results!AP55</f>
        <v>0</v>
      </c>
      <c r="I29" s="41">
        <f>Results!AP73</f>
        <v>0</v>
      </c>
      <c r="J29" s="41">
        <f>Results!AP91</f>
        <v>0</v>
      </c>
      <c r="K29" s="41">
        <f>Results!AP109</f>
        <v>0</v>
      </c>
      <c r="L29" s="41">
        <f>Results!AP127</f>
        <v>0</v>
      </c>
      <c r="M29" s="41">
        <f>Results!AP145</f>
        <v>0</v>
      </c>
      <c r="N29" s="41">
        <f>Results!AP163</f>
        <v>0</v>
      </c>
      <c r="O29" s="41">
        <f>Results!AP181</f>
        <v>0</v>
      </c>
      <c r="P29" s="15">
        <f>Results!AP199</f>
        <v>0</v>
      </c>
      <c r="Q29" s="15">
        <f>Results!AP217</f>
        <v>0</v>
      </c>
      <c r="R29" s="15">
        <f>Results!AP235</f>
        <v>0</v>
      </c>
      <c r="S29" s="15">
        <f>Results!AP253</f>
        <v>0</v>
      </c>
      <c r="T29" s="15">
        <f>Results!AP271</f>
        <v>0</v>
      </c>
      <c r="U29" s="15" t="str">
        <f>Results!AP289</f>
        <v/>
      </c>
      <c r="V29" s="15" t="str">
        <f>Results!AP307</f>
        <v/>
      </c>
      <c r="W29" s="15" t="str">
        <f>Results!AP325</f>
        <v/>
      </c>
      <c r="X29" s="15" t="str">
        <f>Results!AP343</f>
        <v/>
      </c>
    </row>
    <row r="30" spans="2:24">
      <c r="B30" s="72" t="str">
        <f t="shared" si="2"/>
        <v>G 1-6</v>
      </c>
      <c r="C30" s="86">
        <f t="shared" si="2"/>
        <v>0</v>
      </c>
      <c r="D30" s="79">
        <f t="shared" si="1"/>
        <v>0</v>
      </c>
      <c r="E30" s="154" t="str">
        <f t="shared" si="1"/>
        <v>0 - DF 0</v>
      </c>
      <c r="F30" s="41">
        <f>Results!AP20</f>
        <v>0</v>
      </c>
      <c r="G30" s="41">
        <f>Results!AP38</f>
        <v>0</v>
      </c>
      <c r="H30" s="41">
        <f>Results!AP56</f>
        <v>0</v>
      </c>
      <c r="I30" s="41">
        <f>Results!AP74</f>
        <v>0</v>
      </c>
      <c r="J30" s="41">
        <f>Results!AP92</f>
        <v>0</v>
      </c>
      <c r="K30" s="41">
        <f>Results!AP110</f>
        <v>0</v>
      </c>
      <c r="L30" s="41">
        <f>Results!AP128</f>
        <v>0</v>
      </c>
      <c r="M30" s="41">
        <f>Results!AP146</f>
        <v>0</v>
      </c>
      <c r="N30" s="41">
        <f>Results!AP164</f>
        <v>0</v>
      </c>
      <c r="O30" s="41">
        <f>Results!AP182</f>
        <v>0</v>
      </c>
      <c r="P30" s="15">
        <f>Results!AP200</f>
        <v>0</v>
      </c>
      <c r="Q30" s="15">
        <f>Results!AP218</f>
        <v>0</v>
      </c>
      <c r="R30" s="15">
        <f>Results!AP236</f>
        <v>0</v>
      </c>
      <c r="S30" s="15">
        <f>Results!AP254</f>
        <v>0</v>
      </c>
      <c r="T30" s="15">
        <f>Results!AP272</f>
        <v>0</v>
      </c>
      <c r="U30" s="15" t="str">
        <f>Results!AP290</f>
        <v/>
      </c>
      <c r="V30" s="15" t="str">
        <f>Results!AP308</f>
        <v/>
      </c>
      <c r="W30" s="15" t="str">
        <f>Results!AP326</f>
        <v/>
      </c>
      <c r="X30" s="15" t="str">
        <f>Results!AP344</f>
        <v/>
      </c>
    </row>
    <row r="31" spans="2:24">
      <c r="B31" s="72" t="str">
        <f t="shared" si="2"/>
        <v>H 1-6</v>
      </c>
      <c r="C31" s="102">
        <f t="shared" si="2"/>
        <v>0</v>
      </c>
      <c r="D31" s="136">
        <f t="shared" si="1"/>
        <v>0</v>
      </c>
      <c r="E31" s="155" t="str">
        <f t="shared" si="1"/>
        <v>0 - DF 0</v>
      </c>
      <c r="F31" s="41">
        <f>Results!AP21</f>
        <v>0</v>
      </c>
      <c r="G31" s="41" t="str">
        <f>Results!AP39</f>
        <v/>
      </c>
      <c r="H31" s="41" t="str">
        <f>Results!AP57</f>
        <v/>
      </c>
      <c r="I31" s="41" t="str">
        <f>Results!AP75</f>
        <v/>
      </c>
      <c r="J31" s="41" t="str">
        <f>Results!AP93</f>
        <v/>
      </c>
      <c r="K31" s="41" t="str">
        <f>Results!AP111</f>
        <v/>
      </c>
      <c r="L31" s="41" t="str">
        <f>Results!AP129</f>
        <v/>
      </c>
      <c r="M31" s="41" t="str">
        <f>Results!AP147</f>
        <v/>
      </c>
      <c r="N31" s="41" t="str">
        <f>Results!AP165</f>
        <v/>
      </c>
      <c r="O31" s="41" t="str">
        <f>Results!AP183</f>
        <v/>
      </c>
      <c r="P31" s="15" t="str">
        <f>Results!AP201</f>
        <v/>
      </c>
      <c r="Q31" s="15" t="str">
        <f>Results!AP219</f>
        <v/>
      </c>
      <c r="R31" s="15" t="str">
        <f>Results!AP237</f>
        <v/>
      </c>
      <c r="S31" s="15" t="str">
        <f>Results!AP255</f>
        <v/>
      </c>
      <c r="T31" s="15" t="str">
        <f>Results!AP273</f>
        <v/>
      </c>
      <c r="U31" s="15" t="str">
        <f>Results!AP291</f>
        <v/>
      </c>
      <c r="V31" s="15" t="str">
        <f>Results!AP309</f>
        <v/>
      </c>
      <c r="W31" s="15" t="str">
        <f>Results!AP327</f>
        <v/>
      </c>
      <c r="X31" s="15" t="str">
        <f>Results!AP345</f>
        <v/>
      </c>
    </row>
    <row r="32" spans="2:24">
      <c r="B32" s="72" t="str">
        <f t="shared" si="2"/>
        <v>A 7-12</v>
      </c>
      <c r="C32" s="133">
        <f t="shared" si="2"/>
        <v>0</v>
      </c>
      <c r="D32" s="135">
        <f t="shared" si="1"/>
        <v>0</v>
      </c>
      <c r="E32" s="153" t="str">
        <f t="shared" si="1"/>
        <v>0 - DF 0</v>
      </c>
      <c r="F32" s="41">
        <f>Results!AP23</f>
        <v>0</v>
      </c>
      <c r="G32" s="41" t="str">
        <f>Results!AP41</f>
        <v/>
      </c>
      <c r="H32" s="41" t="str">
        <f>Results!AP59</f>
        <v/>
      </c>
      <c r="I32" s="41" t="str">
        <f>Results!AP77</f>
        <v/>
      </c>
      <c r="J32" s="41" t="str">
        <f>Results!AP95</f>
        <v/>
      </c>
      <c r="K32" s="41" t="str">
        <f>Results!AP113</f>
        <v/>
      </c>
      <c r="L32" s="41" t="str">
        <f>Results!AP131</f>
        <v/>
      </c>
      <c r="M32" s="41" t="str">
        <f>Results!AP149</f>
        <v/>
      </c>
      <c r="N32" s="41" t="str">
        <f>Results!AP167</f>
        <v/>
      </c>
      <c r="O32" s="41" t="str">
        <f>Results!AP185</f>
        <v/>
      </c>
      <c r="P32" s="15" t="str">
        <f>Results!AP203</f>
        <v/>
      </c>
      <c r="Q32" s="15" t="str">
        <f>Results!AP221</f>
        <v/>
      </c>
      <c r="R32" s="15" t="str">
        <f>Results!AP239</f>
        <v/>
      </c>
      <c r="S32" s="15" t="str">
        <f>Results!AP257</f>
        <v/>
      </c>
      <c r="T32" s="15" t="str">
        <f>Results!AP275</f>
        <v/>
      </c>
      <c r="U32" s="15" t="str">
        <f>Results!AP293</f>
        <v/>
      </c>
      <c r="V32" s="15" t="str">
        <f>Results!AP311</f>
        <v/>
      </c>
      <c r="W32" s="15" t="str">
        <f>Results!AP329</f>
        <v/>
      </c>
      <c r="X32" s="16" t="str">
        <f>Results!AP347</f>
        <v/>
      </c>
    </row>
    <row r="33" spans="2:24">
      <c r="B33" s="72" t="str">
        <f t="shared" si="2"/>
        <v>B 7-12</v>
      </c>
      <c r="C33" s="86">
        <f t="shared" si="2"/>
        <v>0</v>
      </c>
      <c r="D33" s="79">
        <f t="shared" si="1"/>
        <v>0</v>
      </c>
      <c r="E33" s="154" t="str">
        <f t="shared" si="1"/>
        <v>0 - DF 0</v>
      </c>
      <c r="F33" s="41">
        <f>Results!AP24</f>
        <v>0</v>
      </c>
      <c r="G33" s="41" t="str">
        <f>Results!AP42</f>
        <v/>
      </c>
      <c r="H33" s="41" t="str">
        <f>Results!AP60</f>
        <v/>
      </c>
      <c r="I33" s="41" t="str">
        <f>Results!AP78</f>
        <v/>
      </c>
      <c r="J33" s="41" t="str">
        <f>Results!AP96</f>
        <v/>
      </c>
      <c r="K33" s="41" t="str">
        <f>Results!AP114</f>
        <v/>
      </c>
      <c r="L33" s="41" t="str">
        <f>Results!AP132</f>
        <v/>
      </c>
      <c r="M33" s="41" t="str">
        <f>Results!AP150</f>
        <v/>
      </c>
      <c r="N33" s="41" t="str">
        <f>Results!AP168</f>
        <v/>
      </c>
      <c r="O33" s="41" t="str">
        <f>Results!AP186</f>
        <v/>
      </c>
      <c r="P33" s="15" t="str">
        <f>Results!AP204</f>
        <v/>
      </c>
      <c r="Q33" s="15" t="str">
        <f>Results!AP222</f>
        <v/>
      </c>
      <c r="R33" s="15" t="str">
        <f>Results!AP240</f>
        <v/>
      </c>
      <c r="S33" s="15" t="str">
        <f>Results!AP258</f>
        <v/>
      </c>
      <c r="T33" s="15" t="str">
        <f>Results!AP276</f>
        <v/>
      </c>
      <c r="U33" s="15" t="str">
        <f>Results!AP294</f>
        <v/>
      </c>
      <c r="V33" s="15" t="str">
        <f>Results!AP312</f>
        <v/>
      </c>
      <c r="W33" s="15" t="str">
        <f>Results!AP330</f>
        <v/>
      </c>
      <c r="X33" s="16" t="str">
        <f>Results!AP348</f>
        <v/>
      </c>
    </row>
    <row r="34" spans="2:24">
      <c r="B34" s="72" t="str">
        <f t="shared" si="2"/>
        <v>C7-12</v>
      </c>
      <c r="C34" s="86">
        <f t="shared" si="2"/>
        <v>0</v>
      </c>
      <c r="D34" s="79">
        <f t="shared" si="1"/>
        <v>0</v>
      </c>
      <c r="E34" s="154" t="str">
        <f t="shared" si="1"/>
        <v>0 - DF 0</v>
      </c>
      <c r="F34" s="41">
        <f>Results!AP25</f>
        <v>0</v>
      </c>
      <c r="G34" s="41" t="str">
        <f>Results!AP43</f>
        <v/>
      </c>
      <c r="H34" s="41" t="str">
        <f>Results!AP61</f>
        <v/>
      </c>
      <c r="I34" s="41" t="str">
        <f>Results!AP79</f>
        <v/>
      </c>
      <c r="J34" s="41" t="str">
        <f>Results!AP97</f>
        <v/>
      </c>
      <c r="K34" s="41" t="str">
        <f>Results!AP115</f>
        <v/>
      </c>
      <c r="L34" s="41" t="str">
        <f>Results!AP133</f>
        <v/>
      </c>
      <c r="M34" s="41" t="str">
        <f>Results!AP151</f>
        <v/>
      </c>
      <c r="N34" s="41" t="str">
        <f>Results!AP169</f>
        <v/>
      </c>
      <c r="O34" s="41" t="str">
        <f>Results!AP187</f>
        <v/>
      </c>
      <c r="P34" s="15" t="str">
        <f>Results!AP205</f>
        <v/>
      </c>
      <c r="Q34" s="15" t="str">
        <f>Results!AP223</f>
        <v/>
      </c>
      <c r="R34" s="15" t="str">
        <f>Results!AP241</f>
        <v/>
      </c>
      <c r="S34" s="15" t="str">
        <f>Results!AP259</f>
        <v/>
      </c>
      <c r="T34" s="15" t="str">
        <f>Results!AP277</f>
        <v/>
      </c>
      <c r="U34" s="15" t="str">
        <f>Results!AP295</f>
        <v/>
      </c>
      <c r="V34" s="15" t="str">
        <f>Results!AP313</f>
        <v/>
      </c>
      <c r="W34" s="15" t="str">
        <f>Results!AP331</f>
        <v/>
      </c>
      <c r="X34" s="16" t="str">
        <f>Results!AP349</f>
        <v/>
      </c>
    </row>
    <row r="35" spans="2:24">
      <c r="B35" s="72" t="str">
        <f t="shared" si="2"/>
        <v>D 7-12</v>
      </c>
      <c r="C35" s="86">
        <f t="shared" si="2"/>
        <v>0</v>
      </c>
      <c r="D35" s="79">
        <f t="shared" si="1"/>
        <v>0</v>
      </c>
      <c r="E35" s="154" t="str">
        <f t="shared" si="1"/>
        <v>0 - DF 0</v>
      </c>
      <c r="F35" s="41">
        <f>Results!AP26</f>
        <v>0</v>
      </c>
      <c r="G35" s="41" t="str">
        <f>Results!AP44</f>
        <v/>
      </c>
      <c r="H35" s="41" t="str">
        <f>Results!AP62</f>
        <v/>
      </c>
      <c r="I35" s="41" t="str">
        <f>Results!AP80</f>
        <v/>
      </c>
      <c r="J35" s="41" t="str">
        <f>Results!AP98</f>
        <v/>
      </c>
      <c r="K35" s="41" t="str">
        <f>Results!AP116</f>
        <v/>
      </c>
      <c r="L35" s="41" t="str">
        <f>Results!AP134</f>
        <v/>
      </c>
      <c r="M35" s="41" t="str">
        <f>Results!AP152</f>
        <v/>
      </c>
      <c r="N35" s="41" t="str">
        <f>Results!AP170</f>
        <v/>
      </c>
      <c r="O35" s="41" t="str">
        <f>Results!AP188</f>
        <v/>
      </c>
      <c r="P35" s="15" t="str">
        <f>Results!AP206</f>
        <v/>
      </c>
      <c r="Q35" s="15" t="str">
        <f>Results!AP224</f>
        <v/>
      </c>
      <c r="R35" s="15" t="str">
        <f>Results!AP242</f>
        <v/>
      </c>
      <c r="S35" s="15" t="str">
        <f>Results!AP260</f>
        <v/>
      </c>
      <c r="T35" s="15" t="str">
        <f>Results!AP278</f>
        <v/>
      </c>
      <c r="U35" s="15" t="str">
        <f>Results!AP296</f>
        <v/>
      </c>
      <c r="V35" s="15" t="str">
        <f>Results!AP314</f>
        <v/>
      </c>
      <c r="W35" s="15" t="str">
        <f>Results!AP332</f>
        <v/>
      </c>
      <c r="X35" s="16" t="str">
        <f>Results!AP350</f>
        <v/>
      </c>
    </row>
    <row r="36" spans="2:24">
      <c r="B36" s="72" t="str">
        <f t="shared" si="2"/>
        <v>E 7-12</v>
      </c>
      <c r="C36" s="86">
        <f t="shared" si="2"/>
        <v>0</v>
      </c>
      <c r="D36" s="79">
        <f t="shared" si="1"/>
        <v>0</v>
      </c>
      <c r="E36" s="154" t="str">
        <f t="shared" si="1"/>
        <v>0 - DF 0</v>
      </c>
      <c r="F36" s="41">
        <f>Results!AP27</f>
        <v>0</v>
      </c>
      <c r="G36" s="41" t="str">
        <f>Results!AP45</f>
        <v/>
      </c>
      <c r="H36" s="41" t="str">
        <f>Results!AP63</f>
        <v/>
      </c>
      <c r="I36" s="41" t="str">
        <f>Results!AP81</f>
        <v/>
      </c>
      <c r="J36" s="41" t="str">
        <f>Results!AP99</f>
        <v/>
      </c>
      <c r="K36" s="41" t="str">
        <f>Results!AP117</f>
        <v/>
      </c>
      <c r="L36" s="41" t="str">
        <f>Results!AP135</f>
        <v/>
      </c>
      <c r="M36" s="41" t="str">
        <f>Results!AP153</f>
        <v/>
      </c>
      <c r="N36" s="41" t="str">
        <f>Results!AP171</f>
        <v/>
      </c>
      <c r="O36" s="41" t="str">
        <f>Results!AP189</f>
        <v/>
      </c>
      <c r="P36" s="15" t="str">
        <f>Results!AP207</f>
        <v/>
      </c>
      <c r="Q36" s="15" t="str">
        <f>Results!AP225</f>
        <v/>
      </c>
      <c r="R36" s="15" t="str">
        <f>Results!AP243</f>
        <v/>
      </c>
      <c r="S36" s="15" t="str">
        <f>Results!AP261</f>
        <v/>
      </c>
      <c r="T36" s="15" t="str">
        <f>Results!AP279</f>
        <v/>
      </c>
      <c r="U36" s="15" t="str">
        <f>Results!AP297</f>
        <v/>
      </c>
      <c r="V36" s="15" t="str">
        <f>Results!AP315</f>
        <v/>
      </c>
      <c r="W36" s="15" t="str">
        <f>Results!AP333</f>
        <v/>
      </c>
      <c r="X36" s="16" t="str">
        <f>Results!AP351</f>
        <v/>
      </c>
    </row>
    <row r="37" spans="2:24">
      <c r="B37" s="72" t="str">
        <f t="shared" si="2"/>
        <v>F 7-12</v>
      </c>
      <c r="C37" s="86">
        <f t="shared" si="2"/>
        <v>0</v>
      </c>
      <c r="D37" s="79">
        <f t="shared" si="1"/>
        <v>0</v>
      </c>
      <c r="E37" s="154" t="str">
        <f t="shared" si="1"/>
        <v>0 - DF 0</v>
      </c>
      <c r="F37" s="41">
        <f>Results!AP28</f>
        <v>0</v>
      </c>
      <c r="G37" s="41" t="str">
        <f>Results!AP46</f>
        <v/>
      </c>
      <c r="H37" s="41" t="str">
        <f>Results!AP64</f>
        <v/>
      </c>
      <c r="I37" s="41" t="str">
        <f>Results!AP82</f>
        <v/>
      </c>
      <c r="J37" s="41" t="str">
        <f>Results!AP100</f>
        <v/>
      </c>
      <c r="K37" s="41" t="str">
        <f>Results!AP118</f>
        <v/>
      </c>
      <c r="L37" s="41" t="str">
        <f>Results!AP136</f>
        <v/>
      </c>
      <c r="M37" s="41" t="str">
        <f>Results!AP154</f>
        <v/>
      </c>
      <c r="N37" s="41" t="str">
        <f>Results!AP172</f>
        <v/>
      </c>
      <c r="O37" s="41" t="str">
        <f>Results!AP190</f>
        <v/>
      </c>
      <c r="P37" s="15" t="str">
        <f>Results!AP208</f>
        <v/>
      </c>
      <c r="Q37" s="15" t="str">
        <f>Results!AP226</f>
        <v/>
      </c>
      <c r="R37" s="15" t="str">
        <f>Results!AP244</f>
        <v/>
      </c>
      <c r="S37" s="15" t="str">
        <f>Results!AP262</f>
        <v/>
      </c>
      <c r="T37" s="15" t="str">
        <f>Results!AP280</f>
        <v/>
      </c>
      <c r="U37" s="15" t="str">
        <f>Results!AP298</f>
        <v/>
      </c>
      <c r="V37" s="15" t="str">
        <f>Results!AP316</f>
        <v/>
      </c>
      <c r="W37" s="15" t="str">
        <f>Results!AP334</f>
        <v/>
      </c>
      <c r="X37" s="16" t="str">
        <f>Results!AP352</f>
        <v/>
      </c>
    </row>
    <row r="38" spans="2:24">
      <c r="B38" s="72" t="str">
        <f t="shared" si="2"/>
        <v>G 7-12</v>
      </c>
      <c r="C38" s="86">
        <f t="shared" si="2"/>
        <v>0</v>
      </c>
      <c r="D38" s="79">
        <f t="shared" si="1"/>
        <v>0</v>
      </c>
      <c r="E38" s="154" t="str">
        <f t="shared" si="1"/>
        <v>0 - DF 0</v>
      </c>
      <c r="F38" s="41">
        <f>Results!AP29</f>
        <v>0</v>
      </c>
      <c r="G38" s="41" t="str">
        <f>Results!AP47</f>
        <v/>
      </c>
      <c r="H38" s="41" t="str">
        <f>Results!AP65</f>
        <v/>
      </c>
      <c r="I38" s="41" t="str">
        <f>Results!AP83</f>
        <v/>
      </c>
      <c r="J38" s="41" t="str">
        <f>Results!AP101</f>
        <v/>
      </c>
      <c r="K38" s="41" t="str">
        <f>Results!AP119</f>
        <v/>
      </c>
      <c r="L38" s="41" t="str">
        <f>Results!AP137</f>
        <v/>
      </c>
      <c r="M38" s="41" t="str">
        <f>Results!AP155</f>
        <v/>
      </c>
      <c r="N38" s="41" t="str">
        <f>Results!AP173</f>
        <v/>
      </c>
      <c r="O38" s="41" t="str">
        <f>Results!AP191</f>
        <v/>
      </c>
      <c r="P38" s="15" t="str">
        <f>Results!AP209</f>
        <v/>
      </c>
      <c r="Q38" s="15" t="str">
        <f>Results!AP227</f>
        <v/>
      </c>
      <c r="R38" s="15" t="str">
        <f>Results!AP245</f>
        <v/>
      </c>
      <c r="S38" s="15" t="str">
        <f>Results!AP263</f>
        <v/>
      </c>
      <c r="T38" s="15" t="str">
        <f>Results!AP281</f>
        <v/>
      </c>
      <c r="U38" s="15" t="str">
        <f>Results!AP299</f>
        <v/>
      </c>
      <c r="V38" s="15" t="str">
        <f>Results!AP317</f>
        <v/>
      </c>
      <c r="W38" s="15" t="str">
        <f>Results!AP335</f>
        <v/>
      </c>
      <c r="X38" s="16" t="str">
        <f>Results!AP353</f>
        <v/>
      </c>
    </row>
    <row r="39" spans="2:24">
      <c r="B39" s="60" t="str">
        <f t="shared" si="2"/>
        <v>H 7-12</v>
      </c>
      <c r="C39" s="102">
        <f t="shared" si="2"/>
        <v>0</v>
      </c>
      <c r="D39" s="136">
        <f t="shared" si="1"/>
        <v>0</v>
      </c>
      <c r="E39" s="155" t="str">
        <f t="shared" si="1"/>
        <v>0 - DF 0</v>
      </c>
      <c r="F39" s="41">
        <f>Results!AP30</f>
        <v>0</v>
      </c>
      <c r="G39" s="41" t="str">
        <f>Results!AP48</f>
        <v/>
      </c>
      <c r="H39" s="41" t="str">
        <f>Results!AP66</f>
        <v/>
      </c>
      <c r="I39" s="41" t="str">
        <f>Results!AP84</f>
        <v/>
      </c>
      <c r="J39" s="41" t="str">
        <f>Results!AP102</f>
        <v/>
      </c>
      <c r="K39" s="41" t="str">
        <f>Results!AP120</f>
        <v/>
      </c>
      <c r="L39" s="41" t="str">
        <f>Results!AP138</f>
        <v/>
      </c>
      <c r="M39" s="41" t="str">
        <f>Results!AP156</f>
        <v/>
      </c>
      <c r="N39" s="41" t="str">
        <f>Results!AP174</f>
        <v/>
      </c>
      <c r="O39" s="41" t="str">
        <f>Results!AP192</f>
        <v/>
      </c>
      <c r="P39" s="15" t="str">
        <f>Results!AP210</f>
        <v/>
      </c>
      <c r="Q39" s="15" t="str">
        <f>Results!AP228</f>
        <v/>
      </c>
      <c r="R39" s="15" t="str">
        <f>Results!AP246</f>
        <v/>
      </c>
      <c r="S39" s="15" t="str">
        <f>Results!AP264</f>
        <v/>
      </c>
      <c r="T39" s="15" t="str">
        <f>Results!AP282</f>
        <v/>
      </c>
      <c r="U39" s="15" t="str">
        <f>Results!AP300</f>
        <v/>
      </c>
      <c r="V39" s="15" t="str">
        <f>Results!AP318</f>
        <v/>
      </c>
      <c r="W39" s="15" t="str">
        <f>Results!AP336</f>
        <v/>
      </c>
      <c r="X39" s="16" t="str">
        <f>Results!AP354</f>
        <v/>
      </c>
    </row>
  </sheetData>
  <mergeCells count="1">
    <mergeCell ref="B3:X4"/>
  </mergeCells>
  <conditionalFormatting sqref="H10:O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:O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D291-F947-A64C-B54C-5E6CFFED450E}">
  <dimension ref="B3:H23"/>
  <sheetViews>
    <sheetView zoomScale="124" zoomScaleNormal="124" workbookViewId="0">
      <selection activeCell="F7" sqref="F7"/>
    </sheetView>
  </sheetViews>
  <sheetFormatPr defaultColWidth="10.6328125" defaultRowHeight="14.5"/>
  <cols>
    <col min="5" max="5" width="15.08984375" customWidth="1"/>
  </cols>
  <sheetData>
    <row r="3" spans="2:7">
      <c r="B3" s="259" t="s">
        <v>43</v>
      </c>
      <c r="C3" s="207"/>
      <c r="D3" s="207"/>
      <c r="E3" s="207"/>
      <c r="F3" s="207"/>
    </row>
    <row r="4" spans="2:7">
      <c r="B4" s="212"/>
      <c r="C4" s="213"/>
      <c r="D4" s="213"/>
      <c r="E4" s="213"/>
      <c r="F4" s="213"/>
    </row>
    <row r="5" spans="2:7" ht="29">
      <c r="B5" s="147" t="s">
        <v>37</v>
      </c>
      <c r="C5" s="139" t="s">
        <v>38</v>
      </c>
      <c r="D5" s="148" t="s">
        <v>25</v>
      </c>
      <c r="E5" s="140" t="s">
        <v>104</v>
      </c>
      <c r="F5" s="159" t="s">
        <v>110</v>
      </c>
    </row>
    <row r="6" spans="2:7">
      <c r="B6" s="97" t="str">
        <f>'Sample ID'!D6</f>
        <v>A 1-6</v>
      </c>
      <c r="C6" s="149">
        <f>'Sample ID'!E6</f>
        <v>484</v>
      </c>
      <c r="D6" s="137">
        <f>'Sample ID'!F6</f>
        <v>1</v>
      </c>
      <c r="E6" s="150" t="str">
        <f>'Activity (mg ml min)'!E6</f>
        <v>RKU43484.1</v>
      </c>
      <c r="F6" s="151">
        <f>MAX('Activity (mg ml min)'!H6:X6)</f>
        <v>1.5486725663716842E-3</v>
      </c>
    </row>
    <row r="7" spans="2:7">
      <c r="B7" s="97" t="str">
        <f>'Sample ID'!D7</f>
        <v>B 1-6</v>
      </c>
      <c r="C7" s="149">
        <f>'Sample ID'!E7</f>
        <v>548</v>
      </c>
      <c r="D7" s="137">
        <f>'Sample ID'!F7</f>
        <v>1</v>
      </c>
      <c r="E7" s="150" t="str">
        <f>'Activity (mg ml min)'!E7</f>
        <v>RKU40548.1</v>
      </c>
      <c r="F7" s="151">
        <f>MAX('Activity (mg ml min)'!H7:X7)</f>
        <v>-7.3901241912694251E-4</v>
      </c>
    </row>
    <row r="8" spans="2:7">
      <c r="B8" s="97" t="str">
        <f>'Sample ID'!D8</f>
        <v>C1-6</v>
      </c>
      <c r="C8" s="149">
        <f>'Sample ID'!E8</f>
        <v>716</v>
      </c>
      <c r="D8" s="137">
        <f>'Sample ID'!F8</f>
        <v>1</v>
      </c>
      <c r="E8" s="150" t="str">
        <f>'Activity (mg ml min)'!E8</f>
        <v>RKU46716.1</v>
      </c>
      <c r="F8" s="151">
        <f>MAX('Activity (mg ml min)'!H8:X8)</f>
        <v>2.1295726657517559E-4</v>
      </c>
      <c r="G8">
        <f>'Activity (mg ml min)'!K26</f>
        <v>5.7627435449801644E-4</v>
      </c>
    </row>
    <row r="9" spans="2:7">
      <c r="B9" s="97" t="str">
        <f>'Sample ID'!D9</f>
        <v>D 1-6</v>
      </c>
      <c r="C9" s="149">
        <f>'Sample ID'!E9</f>
        <v>824</v>
      </c>
      <c r="D9" s="137">
        <f>'Sample ID'!F9</f>
        <v>1</v>
      </c>
      <c r="E9" s="150" t="str">
        <f>'Activity (mg ml min)'!E9</f>
        <v>RKU40824.1</v>
      </c>
      <c r="F9" s="151">
        <f>MAX('Activity (mg ml min)'!H9:X9)</f>
        <v>-3.0815423514538552E-3</v>
      </c>
    </row>
    <row r="10" spans="2:7">
      <c r="B10" s="97" t="str">
        <f>'Sample ID'!D10</f>
        <v>E 1-6</v>
      </c>
      <c r="C10" s="149">
        <f>'Sample ID'!E10</f>
        <v>437</v>
      </c>
      <c r="D10" s="137">
        <f>'Sample ID'!F10</f>
        <v>1</v>
      </c>
      <c r="E10" s="150" t="str">
        <f>'Activity (mg ml min)'!E10</f>
        <v>437 - DF 1</v>
      </c>
      <c r="F10" s="151">
        <f>MAX('Activity (mg ml min)'!H10:X10)</f>
        <v>-1.2502788726109898E-3</v>
      </c>
      <c r="G10">
        <f>'Activity (mg ml min)'!J28</f>
        <v>7.2034294312252561E-4</v>
      </c>
    </row>
    <row r="11" spans="2:7">
      <c r="B11" s="97" t="str">
        <f>'Sample ID'!D11</f>
        <v>F 1-6</v>
      </c>
      <c r="C11" s="149">
        <f>'Sample ID'!E11</f>
        <v>0</v>
      </c>
      <c r="D11" s="137">
        <f>'Sample ID'!F11</f>
        <v>0</v>
      </c>
      <c r="E11" s="150" t="str">
        <f>'Activity (mg ml min)'!E11</f>
        <v>0 - DF 0</v>
      </c>
      <c r="F11" s="151">
        <f>MAX('Activity (mg ml min)'!H11:X11)</f>
        <v>0</v>
      </c>
      <c r="G11">
        <f>'Activity (mg ml min)'!H29</f>
        <v>0</v>
      </c>
    </row>
    <row r="12" spans="2:7">
      <c r="B12" s="97" t="str">
        <f>'Sample ID'!D12</f>
        <v>G 1-6</v>
      </c>
      <c r="C12" s="149">
        <f>'Sample ID'!E12</f>
        <v>0</v>
      </c>
      <c r="D12" s="137">
        <f>'Sample ID'!F12</f>
        <v>0</v>
      </c>
      <c r="E12" s="150" t="str">
        <f>'Activity (mg ml min)'!E12</f>
        <v>0 - DF 0</v>
      </c>
      <c r="F12" s="151">
        <f>MAX('Activity (mg ml min)'!F12:X12)</f>
        <v>0</v>
      </c>
    </row>
    <row r="13" spans="2:7">
      <c r="B13" s="97" t="str">
        <f>'Sample ID'!D13</f>
        <v>H 1-6</v>
      </c>
      <c r="C13" s="149">
        <f>'Sample ID'!E13</f>
        <v>0</v>
      </c>
      <c r="D13" s="137">
        <f>'Sample ID'!F13</f>
        <v>0</v>
      </c>
      <c r="E13" s="150" t="str">
        <f>'Activity (mg ml min)'!E13</f>
        <v>0 - DF 0</v>
      </c>
      <c r="F13" s="151">
        <f>MAX('Activity (mg ml min)'!F13:X13)</f>
        <v>0</v>
      </c>
    </row>
    <row r="14" spans="2:7">
      <c r="B14" s="97" t="str">
        <f>'Sample ID'!D14</f>
        <v>A 7-12</v>
      </c>
      <c r="C14" s="149">
        <f>'Sample ID'!E14</f>
        <v>0</v>
      </c>
      <c r="D14" s="137">
        <f>'Sample ID'!F14</f>
        <v>0</v>
      </c>
      <c r="E14" s="150" t="str">
        <f>'Activity (mg ml min)'!E14</f>
        <v>0 - DF 0</v>
      </c>
      <c r="F14" s="151">
        <f>MAX('Activity (mg ml min)'!F14:X14)</f>
        <v>0</v>
      </c>
    </row>
    <row r="15" spans="2:7">
      <c r="B15" s="97" t="str">
        <f>'Sample ID'!D15</f>
        <v>B 7-12</v>
      </c>
      <c r="C15" s="149">
        <f>'Sample ID'!E15</f>
        <v>0</v>
      </c>
      <c r="D15" s="137">
        <f>'Sample ID'!F15</f>
        <v>0</v>
      </c>
      <c r="E15" s="150" t="str">
        <f>'Activity (mg ml min)'!E15</f>
        <v>0 - DF 0</v>
      </c>
      <c r="F15" s="151">
        <f>MAX('Activity (mg ml min)'!F15:X15)</f>
        <v>0</v>
      </c>
    </row>
    <row r="16" spans="2:7">
      <c r="B16" s="97" t="str">
        <f>'Sample ID'!D16</f>
        <v>C7-12</v>
      </c>
      <c r="C16" s="149">
        <f>'Sample ID'!E16</f>
        <v>0</v>
      </c>
      <c r="D16" s="137">
        <f>'Sample ID'!F16</f>
        <v>0</v>
      </c>
      <c r="E16" s="150" t="str">
        <f>'Activity (mg ml min)'!E16</f>
        <v>0 - DF 0</v>
      </c>
      <c r="F16" s="151">
        <f>MAX('Activity (mg ml min)'!F16:X16)</f>
        <v>0</v>
      </c>
    </row>
    <row r="17" spans="2:8">
      <c r="B17" s="97" t="str">
        <f>'Sample ID'!D17</f>
        <v>D 7-12</v>
      </c>
      <c r="C17" s="149">
        <f>'Sample ID'!E17</f>
        <v>0</v>
      </c>
      <c r="D17" s="137">
        <f>'Sample ID'!F17</f>
        <v>0</v>
      </c>
      <c r="E17" s="150" t="str">
        <f>'Activity (mg ml min)'!E17</f>
        <v>0 - DF 0</v>
      </c>
      <c r="F17" s="151">
        <f>MAX('Activity (mg ml min)'!F17:X17)</f>
        <v>0</v>
      </c>
    </row>
    <row r="18" spans="2:8">
      <c r="B18" s="97" t="str">
        <f>'Sample ID'!D18</f>
        <v>E 7-12</v>
      </c>
      <c r="C18" s="149">
        <f>'Sample ID'!E18</f>
        <v>0</v>
      </c>
      <c r="D18" s="137">
        <f>'Sample ID'!F18</f>
        <v>0</v>
      </c>
      <c r="E18" s="150" t="str">
        <f>'Activity (mg ml min)'!E18</f>
        <v>0 - DF 0</v>
      </c>
      <c r="F18" s="151">
        <f>MAX('Activity (mg ml min)'!F18:X18)</f>
        <v>0</v>
      </c>
    </row>
    <row r="19" spans="2:8">
      <c r="B19" s="97" t="str">
        <f>'Sample ID'!D19</f>
        <v>F 7-12</v>
      </c>
      <c r="C19" s="149">
        <f>'Sample ID'!E19</f>
        <v>0</v>
      </c>
      <c r="D19" s="137">
        <f>'Sample ID'!F19</f>
        <v>0</v>
      </c>
      <c r="E19" s="150" t="str">
        <f>'Activity (mg ml min)'!E19</f>
        <v>0 - DF 0</v>
      </c>
      <c r="F19" s="151">
        <f>MAX('Activity (mg ml min)'!F19:X19)</f>
        <v>0</v>
      </c>
    </row>
    <row r="20" spans="2:8">
      <c r="B20" s="97" t="str">
        <f>'Sample ID'!D20</f>
        <v>G 7-12</v>
      </c>
      <c r="C20" s="149">
        <f>'Sample ID'!E20</f>
        <v>0</v>
      </c>
      <c r="D20" s="137">
        <f>'Sample ID'!F20</f>
        <v>0</v>
      </c>
      <c r="E20" s="150" t="str">
        <f>'Activity (mg ml min)'!E20</f>
        <v>0 - DF 0</v>
      </c>
      <c r="F20" s="151">
        <f>MAX('Activity (mg ml min)'!F20:X20)</f>
        <v>0</v>
      </c>
    </row>
    <row r="21" spans="2:8">
      <c r="B21" s="97" t="str">
        <f>'Sample ID'!D21</f>
        <v>H 7-12</v>
      </c>
      <c r="C21" s="149">
        <f>'Sample ID'!E21</f>
        <v>0</v>
      </c>
      <c r="D21" s="137">
        <f>'Sample ID'!F21</f>
        <v>0</v>
      </c>
      <c r="E21" s="133" t="str">
        <f>'Activity (mg ml min)'!E21</f>
        <v>0 - DF 0</v>
      </c>
      <c r="F21" s="151">
        <f>MAX('Activity (mg ml min)'!F21:X21)</f>
        <v>0</v>
      </c>
    </row>
    <row r="22" spans="2:8">
      <c r="E22" s="135"/>
      <c r="F22" s="134"/>
    </row>
    <row r="23" spans="2:8">
      <c r="H23" t="s">
        <v>114</v>
      </c>
    </row>
  </sheetData>
  <mergeCells count="1">
    <mergeCell ref="B3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 ID</vt:lpstr>
      <vt:lpstr>Data</vt:lpstr>
      <vt:lpstr>Results</vt:lpstr>
      <vt:lpstr>Std Curve</vt:lpstr>
      <vt:lpstr>Substrate Degradation (mg ml)</vt:lpstr>
      <vt:lpstr>Activity (mg ml min)</vt:lpstr>
      <vt:lpstr>Activity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Wet, SC, Miss [zanie@sun.ac.za]</dc:creator>
  <cp:lastModifiedBy>Torppa, JE, Mnr [22042636@sun.ac.za]</cp:lastModifiedBy>
  <dcterms:created xsi:type="dcterms:W3CDTF">2025-03-06T12:58:57Z</dcterms:created>
  <dcterms:modified xsi:type="dcterms:W3CDTF">2025-12-28T13:59:33Z</dcterms:modified>
</cp:coreProperties>
</file>